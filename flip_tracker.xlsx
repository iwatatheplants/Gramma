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p Tracker" sheetId="1" state="visible" r:id="rId3"/>
    <sheet name="Dashboard" sheetId="2" state="visible" r:id="rId4"/>
    <sheet name="Active Invent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<sst xmlns="http://schemas.openxmlformats.org/spreadsheetml/2006/main" count="105" uniqueCount="91">
  <si>
    <t xml:space="preserve">VINTAGE SCOUT — Flip Tracker</t>
  </si>
  <si>
    <t xml:space="preserve">Track every acquisition, sale, and profit. All yellow cells are formulas — just fill in the blue input columns.</t>
  </si>
  <si>
    <t xml:space="preserve">#</t>
  </si>
  <si>
    <t xml:space="preserve">Date Acquired</t>
  </si>
  <si>
    <t xml:space="preserve">Source</t>
  </si>
  <si>
    <t xml:space="preserve">Brand / Designer</t>
  </si>
  <si>
    <t xml:space="preserve">Item Description</t>
  </si>
  <si>
    <t xml:space="preserve">Category</t>
  </si>
  <si>
    <t xml:space="preserve">Buy Price</t>
  </si>
  <si>
    <t xml:space="preserve">Repair Cost</t>
  </si>
  <si>
    <t xml:space="preserve">Total Cost</t>
  </si>
  <si>
    <t xml:space="preserve">Date Listed</t>
  </si>
  <si>
    <t xml:space="preserve">Date Sold</t>
  </si>
  <si>
    <t xml:space="preserve">Sale Platform</t>
  </si>
  <si>
    <t xml:space="preserve">Sale Price</t>
  </si>
  <si>
    <t xml:space="preserve">Platform Fee %</t>
  </si>
  <si>
    <t xml:space="preserve">Platform Fee $</t>
  </si>
  <si>
    <t xml:space="preserve">Net Revenue</t>
  </si>
  <si>
    <t xml:space="preserve">Profit $</t>
  </si>
  <si>
    <t xml:space="preserve">Margin %</t>
  </si>
  <si>
    <t xml:space="preserve">ROI %</t>
  </si>
  <si>
    <t xml:space="preserve">Days to Sell</t>
  </si>
  <si>
    <t xml:space="preserve">Status</t>
  </si>
  <si>
    <t xml:space="preserve">Swoopa Alert</t>
  </si>
  <si>
    <t xml:space="preserve">Broyhill</t>
  </si>
  <si>
    <t xml:space="preserve">Brasilia credenza walnut 6-drawer</t>
  </si>
  <si>
    <t xml:space="preserve">MCM Furniture</t>
  </si>
  <si>
    <t xml:space="preserve">FB Marketplace</t>
  </si>
  <si>
    <t xml:space="preserve">Sold</t>
  </si>
  <si>
    <t xml:space="preserve">Free/Curb</t>
  </si>
  <si>
    <t xml:space="preserve">Unknown (Danish)</t>
  </si>
  <si>
    <t xml:space="preserve">Teak dining table, leaf, solid wood</t>
  </si>
  <si>
    <t xml:space="preserve">Danish Modern</t>
  </si>
  <si>
    <t xml:space="preserve">Craigslist</t>
  </si>
  <si>
    <t xml:space="preserve">Vintage Levi's</t>
  </si>
  <si>
    <t xml:space="preserve">501 Big E selvedge denim, 32x34</t>
  </si>
  <si>
    <t xml:space="preserve">Vintage Denim</t>
  </si>
  <si>
    <t xml:space="preserve">eBay</t>
  </si>
  <si>
    <t xml:space="preserve">DASHBOARD — Performance Summary</t>
  </si>
  <si>
    <t xml:space="preserve">Total Flips</t>
  </si>
  <si>
    <t xml:space="preserve">Items Sold</t>
  </si>
  <si>
    <t xml:space="preserve">Total Revenue</t>
  </si>
  <si>
    <t xml:space="preserve">Total Profit</t>
  </si>
  <si>
    <t xml:space="preserve">Avg Profit/Flip</t>
  </si>
  <si>
    <t xml:space="preserve">Avg Margin</t>
  </si>
  <si>
    <t xml:space="preserve">Avg ROI</t>
  </si>
  <si>
    <t xml:space="preserve">Avg Days to Sell</t>
  </si>
  <si>
    <t xml:space="preserve">In Inventory</t>
  </si>
  <si>
    <t xml:space="preserve">Platform Fee Reference</t>
  </si>
  <si>
    <t xml:space="preserve">Monthly Targets</t>
  </si>
  <si>
    <t xml:space="preserve">Platform</t>
  </si>
  <si>
    <t xml:space="preserve">Typical Fee %</t>
  </si>
  <si>
    <t xml:space="preserve">Month</t>
  </si>
  <si>
    <t xml:space="preserve">Flips</t>
  </si>
  <si>
    <t xml:space="preserve">Revenue</t>
  </si>
  <si>
    <t xml:space="preserve">Profit</t>
  </si>
  <si>
    <t xml:space="preserve">Target Profit</t>
  </si>
  <si>
    <t xml:space="preserve">Hit?</t>
  </si>
  <si>
    <t xml:space="preserve">0% (local)</t>
  </si>
  <si>
    <t xml:space="preserve">Jan</t>
  </si>
  <si>
    <t xml:space="preserve">0%</t>
  </si>
  <si>
    <t xml:space="preserve">Feb</t>
  </si>
  <si>
    <t xml:space="preserve">13%</t>
  </si>
  <si>
    <t xml:space="preserve">Mar</t>
  </si>
  <si>
    <t xml:space="preserve">1stDibs</t>
  </si>
  <si>
    <t xml:space="preserve">15-25%</t>
  </si>
  <si>
    <t xml:space="preserve">Apr</t>
  </si>
  <si>
    <t xml:space="preserve">Chairish</t>
  </si>
  <si>
    <t xml:space="preserve">30%</t>
  </si>
  <si>
    <t xml:space="preserve">May</t>
  </si>
  <si>
    <t xml:space="preserve">Poshmark</t>
  </si>
  <si>
    <t xml:space="preserve">20%</t>
  </si>
  <si>
    <t xml:space="preserve">Jun</t>
  </si>
  <si>
    <t xml:space="preserve">Depop</t>
  </si>
  <si>
    <t xml:space="preserve">10%</t>
  </si>
  <si>
    <t xml:space="preserve">Jul</t>
  </si>
  <si>
    <t xml:space="preserve">Instagram/Direct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</si>
  <si>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</si>
  <si>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</si>
  <si>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</si>
  <si>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</si>
  <si>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</si>
  <si>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ACTIVE INVENTORY — Items Not Yet Sold</t>
  </si>
  <si>
    <t xml:space="preserve">These rows auto-populate from Flip Tracker where Status ≠ Sold. Fill in estimated resale to track potential pipeline value.</t>
  </si>
  <si>
    <t xml:space="preserve">Est. Resale Low</t>
  </si>
  <si>
    <t xml:space="preserve">Est. Resale High</t>
  </si>
  <si>
    <t xml:space="preserve">Est. Profit (mid)</t>
  </si>
  <si>
    <t xml:space="preserve">Days Held</t>
  </si>
  <si>
    <t xml:space="preserve">Notes</t>
  </si>
  <si>
    <t xml:space="preserve">Pipeline Value:</t>
  </si>
  <si>
    <t xml:space="preserve">Total Invested: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</si>
</sst>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\$#,##0.00"/>
    <numFmt numFmtId="167" formatCode="0.0%"/>
    <numFmt numFmtId="168" formatCode="\$#,##0.00;&quot;($&quot;#,##0.00\);\-"/>
    <numFmt numFmtId="169" formatCode="0"/>
    <numFmt numFmtId="170" formatCode="General"/>
    <numFmt numFmtId="171" formatCode="\$#,##0"/>
    <numFmt numFmtId="172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24E"/>
      <name val="Arial"/>
      <family val="0"/>
      <charset val="1"/>
    </font>
    <font>
      <sz val="11"/>
      <color rgb="FF888888"/>
      <name val="Arial"/>
      <family val="0"/>
      <charset val="1"/>
    </font>
    <font>
      <sz val="10"/>
      <color rgb="FFECECEC"/>
      <name val="Arial"/>
      <family val="0"/>
      <charset val="1"/>
    </font>
    <font>
      <b val="true"/>
      <sz val="11"/>
      <color rgb="FFECECEC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5599FF"/>
      <name val="Arial"/>
      <family val="0"/>
      <charset val="1"/>
    </font>
    <font>
      <sz val="10"/>
      <color rgb="FFC8A24E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8"/>
      <color rgb="FFC8A24E"/>
      <name val="Arial"/>
      <family val="0"/>
      <charset val="1"/>
    </font>
    <font>
      <b val="true"/>
      <sz val="14"/>
      <color rgb="FFECECEC"/>
      <name val="Arial"/>
      <family val="0"/>
      <charset val="1"/>
    </font>
    <font>
      <b val="true"/>
      <sz val="12"/>
      <color rgb="FFC8A24E"/>
      <name val="Arial"/>
      <family val="0"/>
      <charset val="1"/>
    </font>
    <font>
      <b val="true"/>
      <sz val="14"/>
      <color rgb="FF22C55E"/>
      <name val="Arial"/>
      <family val="0"/>
      <charset val="1"/>
    </font>
    <font>
      <b val="true"/>
      <sz val="14"/>
      <color rgb="FFC8A24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E1C2A"/>
      </patternFill>
    </fill>
    <fill>
      <patternFill patternType="solid">
        <fgColor rgb="FF1E1C2A"/>
        <bgColor rgb="FF1A1A2E"/>
      </patternFill>
    </fill>
    <fill>
      <patternFill patternType="solid">
        <fgColor rgb="FF0E0E1A"/>
        <bgColor rgb="FF141422"/>
      </patternFill>
    </fill>
    <fill>
      <patternFill patternType="solid">
        <fgColor rgb="FF141422"/>
        <bgColor rgb="FF0E0E1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2A2A3E"/>
      </right>
      <top/>
      <bottom style="thin">
        <color rgb="FF2A2A3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2C55E"/>
        <sz val="10"/>
      </font>
      <fill>
        <patternFill>
          <bgColor rgb="FF0A2E0A"/>
        </patternFill>
      </fill>
    </dxf>
    <dxf>
      <font>
        <name val="Arial"/>
        <charset val="1"/>
        <family val="0"/>
        <b val="1"/>
        <color rgb="FFEF4444"/>
        <sz val="10"/>
      </font>
      <fill>
        <patternFill>
          <bgColor rgb="FF2E0A0A"/>
        </patternFill>
      </fill>
    </dxf>
    <dxf>
      <font>
        <name val="Arial"/>
        <charset val="1"/>
        <family val="0"/>
        <b val="1"/>
        <color rgb="FF22C55E"/>
        <sz val="10"/>
      </font>
    </dxf>
    <dxf>
      <font>
        <name val="Arial"/>
        <charset val="1"/>
        <family val="0"/>
        <b val="1"/>
        <color rgb="FFFFD700"/>
        <sz val="10"/>
      </font>
    </dxf>
  </dxfs>
  <colors>
    <indexedColors>
      <rgbColor rgb="FF000000"/>
      <rgbColor rgb="FFECEC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0E1A"/>
      <rgbColor rgb="FF808000"/>
      <rgbColor rgb="FF800080"/>
      <rgbColor rgb="FF008080"/>
      <rgbColor rgb="FFC0C0C0"/>
      <rgbColor rgb="FF888888"/>
      <rgbColor rgb="FF5599FF"/>
      <rgbColor rgb="FF993366"/>
      <rgbColor rgb="FFFFFFCC"/>
      <rgbColor rgb="FFCCFFFF"/>
      <rgbColor rgb="FF2E0A0A"/>
      <rgbColor rgb="FFFF8080"/>
      <rgbColor rgb="FF0066CC"/>
      <rgbColor rgb="FFCCCCFF"/>
      <rgbColor rgb="FF1414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59E0B"/>
      <rgbColor rgb="FFEF4444"/>
      <rgbColor rgb="FF666699"/>
      <rgbColor rgb="FFC8A24E"/>
      <rgbColor rgb="FF1A1A2E"/>
      <rgbColor rgb="FF22C55E"/>
      <rgbColor rgb="FF0A2E0A"/>
      <rgbColor rgb="FF1E1C2A"/>
      <rgbColor rgb="FF993300"/>
      <rgbColor rgb="FF993366"/>
      <rgbColor rgb="FF333399"/>
      <rgbColor rgb="FF2A2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4E"/>
    <pageSetUpPr fitToPage="false"/>
  </sheetPr>
  <dimension ref="A1:U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9" min="6" style="1" width="11"/>
    <col collapsed="false" customWidth="true" hidden="false" outlineLevel="0" max="11" min="10" style="1" width="13"/>
    <col collapsed="false" customWidth="true" hidden="false" outlineLevel="0" max="12" min="12" style="1" width="14"/>
    <col collapsed="false" customWidth="true" hidden="false" outlineLevel="0" max="17" min="13" style="1" width="11"/>
    <col collapsed="false" customWidth="true" hidden="false" outlineLevel="0" max="19" min="18" style="1" width="10"/>
    <col collapsed="false" customWidth="true" hidden="false" outlineLevel="0" max="20" min="20" style="1" width="11"/>
    <col collapsed="false" customWidth="true" hidden="false" outlineLevel="0" max="21" min="21" style="1" width="1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31.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</row>
    <row r="5" customFormat="false" ht="15" hidden="false" customHeight="true" outlineLevel="0" collapsed="false">
      <c r="A5" s="6" t="n">
        <v>1</v>
      </c>
      <c r="B5" s="7" t="n">
        <v>46091</v>
      </c>
      <c r="C5" s="8" t="s">
        <v>23</v>
      </c>
      <c r="D5" s="8" t="s">
        <v>24</v>
      </c>
      <c r="E5" s="8" t="s">
        <v>25</v>
      </c>
      <c r="F5" s="8" t="s">
        <v>26</v>
      </c>
      <c r="G5" s="9" t="n">
        <v>45</v>
      </c>
      <c r="H5" s="9" t="n">
        <v>20</v>
      </c>
      <c r="I5" s="10" t="n">
        <f aca="false">IF(G5="","",G5+IF(H5="",0,H5))</f>
        <v>65</v>
      </c>
      <c r="J5" s="7" t="n">
        <v>46093</v>
      </c>
      <c r="K5" s="7" t="n">
        <v>46096</v>
      </c>
      <c r="L5" s="8" t="s">
        <v>27</v>
      </c>
      <c r="M5" s="9" t="n">
        <v>425</v>
      </c>
      <c r="N5" s="11" t="n">
        <v>0</v>
      </c>
      <c r="O5" s="10" t="n">
        <f aca="false">IF(OR(M5="",N5=""),"",M5*N5)</f>
        <v>0</v>
      </c>
      <c r="P5" s="10" t="n">
        <f aca="false">IF(M5="","",M5-IF(O5="",0,O5))</f>
        <v>425</v>
      </c>
      <c r="Q5" s="12" t="n">
        <f aca="false">IF(OR(P5="",I5=""),"",P5-I5)</f>
        <v>360</v>
      </c>
      <c r="R5" s="13" t="n">
        <f aca="false">IF(OR(Q5="",M5="",M5=0),"",Q5/M5)</f>
        <v>0.847058823529412</v>
      </c>
      <c r="S5" s="13" t="n">
        <f aca="false">IF(OR(Q5="",I5="",I5=0),"",Q5/I5)</f>
        <v>5.53846153846154</v>
      </c>
      <c r="T5" s="14" t="n">
        <f aca="false">IF(OR(K5="",J5=""),"",K5-J5)</f>
        <v>3</v>
      </c>
      <c r="U5" s="8" t="s">
        <v>28</v>
      </c>
    </row>
    <row r="6" customFormat="false" ht="15" hidden="false" customHeight="true" outlineLevel="0" collapsed="false">
      <c r="A6" s="15" t="n">
        <v>2</v>
      </c>
      <c r="B6" s="16" t="n">
        <v>46093</v>
      </c>
      <c r="C6" s="17" t="s">
        <v>29</v>
      </c>
      <c r="D6" s="17" t="s">
        <v>30</v>
      </c>
      <c r="E6" s="17" t="s">
        <v>31</v>
      </c>
      <c r="F6" s="17" t="s">
        <v>32</v>
      </c>
      <c r="G6" s="18" t="n">
        <v>0</v>
      </c>
      <c r="H6" s="18" t="n">
        <v>35</v>
      </c>
      <c r="I6" s="19" t="n">
        <f aca="false">IF(G6="","",G6+IF(H6="",0,H6))</f>
        <v>35</v>
      </c>
      <c r="J6" s="16" t="n">
        <v>46095</v>
      </c>
      <c r="K6" s="16" t="n">
        <v>46101</v>
      </c>
      <c r="L6" s="17" t="s">
        <v>33</v>
      </c>
      <c r="M6" s="18" t="n">
        <v>280</v>
      </c>
      <c r="N6" s="20" t="n">
        <v>0</v>
      </c>
      <c r="O6" s="19" t="n">
        <f aca="false">IF(OR(M6="",N6=""),"",M6*N6)</f>
        <v>0</v>
      </c>
      <c r="P6" s="19" t="n">
        <f aca="false">IF(M6="","",M6-IF(O6="",0,O6))</f>
        <v>280</v>
      </c>
      <c r="Q6" s="21" t="n">
        <f aca="false">IF(OR(P6="",I6=""),"",P6-I6)</f>
        <v>245</v>
      </c>
      <c r="R6" s="22" t="n">
        <f aca="false">IF(OR(Q6="",M6="",M6=0),"",Q6/M6)</f>
        <v>0.875</v>
      </c>
      <c r="S6" s="22" t="n">
        <f aca="false">IF(OR(Q6="",I6="",I6=0),"",Q6/I6)</f>
        <v>7</v>
      </c>
      <c r="T6" s="23" t="n">
        <f aca="false">IF(OR(K6="",J6=""),"",K6-J6)</f>
        <v>6</v>
      </c>
      <c r="U6" s="17" t="s">
        <v>28</v>
      </c>
    </row>
    <row r="7" customFormat="false" ht="15" hidden="false" customHeight="true" outlineLevel="0" collapsed="false">
      <c r="A7" s="6" t="n">
        <v>3</v>
      </c>
      <c r="B7" s="7" t="n">
        <v>46096</v>
      </c>
      <c r="C7" s="8" t="s">
        <v>33</v>
      </c>
      <c r="D7" s="8" t="s">
        <v>34</v>
      </c>
      <c r="E7" s="8" t="s">
        <v>35</v>
      </c>
      <c r="F7" s="8" t="s">
        <v>36</v>
      </c>
      <c r="G7" s="9" t="n">
        <v>12</v>
      </c>
      <c r="H7" s="9" t="n">
        <v>0</v>
      </c>
      <c r="I7" s="10" t="n">
        <f aca="false">IF(G7="","",G7+IF(H7="",0,H7))</f>
        <v>12</v>
      </c>
      <c r="J7" s="7" t="n">
        <v>46097</v>
      </c>
      <c r="K7" s="7" t="n">
        <v>46099</v>
      </c>
      <c r="L7" s="8" t="s">
        <v>37</v>
      </c>
      <c r="M7" s="9" t="n">
        <v>165</v>
      </c>
      <c r="N7" s="11" t="n">
        <v>0.13</v>
      </c>
      <c r="O7" s="10" t="n">
        <f aca="false">IF(OR(M7="",N7=""),"",M7*N7)</f>
        <v>21.45</v>
      </c>
      <c r="P7" s="10" t="n">
        <f aca="false">IF(M7="","",M7-IF(O7="",0,O7))</f>
        <v>143.55</v>
      </c>
      <c r="Q7" s="12" t="n">
        <f aca="false">IF(OR(P7="",I7=""),"",P7-I7)</f>
        <v>131.55</v>
      </c>
      <c r="R7" s="13" t="n">
        <f aca="false">IF(OR(Q7="",M7="",M7=0),"",Q7/M7)</f>
        <v>0.797272727272727</v>
      </c>
      <c r="S7" s="13" t="n">
        <f aca="false">IF(OR(Q7="",I7="",I7=0),"",Q7/I7)</f>
        <v>10.9625</v>
      </c>
      <c r="T7" s="14" t="n">
        <f aca="false">IF(OR(K7="",J7=""),"",K7-J7)</f>
        <v>2</v>
      </c>
      <c r="U7" s="8" t="s">
        <v>28</v>
      </c>
    </row>
    <row r="8" customFormat="false" ht="15" hidden="false" customHeight="true" outlineLevel="0" collapsed="false">
      <c r="A8" s="15" t="n">
        <v>4</v>
      </c>
      <c r="B8" s="16"/>
      <c r="C8" s="17"/>
      <c r="D8" s="17"/>
      <c r="E8" s="17"/>
      <c r="F8" s="17"/>
      <c r="G8" s="18"/>
      <c r="H8" s="18"/>
      <c r="I8" s="19" t="str">
        <f aca="false">IF(G8="","",G8+IF(H8="",0,H8))</f>
        <v/>
      </c>
      <c r="J8" s="16"/>
      <c r="K8" s="16"/>
      <c r="L8" s="17"/>
      <c r="M8" s="18"/>
      <c r="N8" s="20"/>
      <c r="O8" s="19" t="str">
        <f aca="false">IF(OR(M8="",N8=""),"",M8*N8)</f>
        <v/>
      </c>
      <c r="P8" s="19" t="str">
        <f aca="false">IF(M8="","",M8-IF(O8="",0,O8))</f>
        <v/>
      </c>
      <c r="Q8" s="21" t="str">
        <f aca="false">IF(OR(P8="",I8=""),"",P8-I8)</f>
        <v/>
      </c>
      <c r="R8" s="22" t="str">
        <f aca="false">IF(OR(Q8="",M8="",M8=0),"",Q8/M8)</f>
        <v/>
      </c>
      <c r="S8" s="22" t="str">
        <f aca="false">IF(OR(Q8="",I8="",I8=0),"",Q8/I8)</f>
        <v/>
      </c>
      <c r="T8" s="23" t="str">
        <f aca="false">IF(OR(K8="",J8=""),"",K8-J8)</f>
        <v/>
      </c>
      <c r="U8" s="17"/>
    </row>
    <row r="9" customFormat="false" ht="15" hidden="false" customHeight="true" outlineLevel="0" collapsed="false">
      <c r="A9" s="6" t="n">
        <v>5</v>
      </c>
      <c r="B9" s="7"/>
      <c r="C9" s="8"/>
      <c r="D9" s="8"/>
      <c r="E9" s="8"/>
      <c r="F9" s="8"/>
      <c r="G9" s="9"/>
      <c r="H9" s="9"/>
      <c r="I9" s="10" t="str">
        <f aca="false">IF(G9="","",G9+IF(H9="",0,H9))</f>
        <v/>
      </c>
      <c r="J9" s="7"/>
      <c r="K9" s="7"/>
      <c r="L9" s="8"/>
      <c r="M9" s="9"/>
      <c r="N9" s="11"/>
      <c r="O9" s="10" t="str">
        <f aca="false">IF(OR(M9="",N9=""),"",M9*N9)</f>
        <v/>
      </c>
      <c r="P9" s="10" t="str">
        <f aca="false">IF(M9="","",M9-IF(O9="",0,O9))</f>
        <v/>
      </c>
      <c r="Q9" s="12" t="str">
        <f aca="false">IF(OR(P9="",I9=""),"",P9-I9)</f>
        <v/>
      </c>
      <c r="R9" s="13" t="str">
        <f aca="false">IF(OR(Q9="",M9="",M9=0),"",Q9/M9)</f>
        <v/>
      </c>
      <c r="S9" s="13" t="str">
        <f aca="false">IF(OR(Q9="",I9="",I9=0),"",Q9/I9)</f>
        <v/>
      </c>
      <c r="T9" s="14" t="str">
        <f aca="false">IF(OR(K9="",J9=""),"",K9-J9)</f>
        <v/>
      </c>
      <c r="U9" s="8"/>
    </row>
    <row r="10" customFormat="false" ht="15" hidden="false" customHeight="true" outlineLevel="0" collapsed="false">
      <c r="A10" s="15" t="n">
        <v>6</v>
      </c>
      <c r="B10" s="16"/>
      <c r="C10" s="17"/>
      <c r="D10" s="17"/>
      <c r="E10" s="17"/>
      <c r="F10" s="17"/>
      <c r="G10" s="18"/>
      <c r="H10" s="18"/>
      <c r="I10" s="19" t="str">
        <f aca="false">IF(G10="","",G10+IF(H10="",0,H10))</f>
        <v/>
      </c>
      <c r="J10" s="16"/>
      <c r="K10" s="16"/>
      <c r="L10" s="17"/>
      <c r="M10" s="18"/>
      <c r="N10" s="20"/>
      <c r="O10" s="19" t="str">
        <f aca="false">IF(OR(M10="",N10=""),"",M10*N10)</f>
        <v/>
      </c>
      <c r="P10" s="19" t="str">
        <f aca="false">IF(M10="","",M10-IF(O10="",0,O10))</f>
        <v/>
      </c>
      <c r="Q10" s="21" t="str">
        <f aca="false">IF(OR(P10="",I10=""),"",P10-I10)</f>
        <v/>
      </c>
      <c r="R10" s="22" t="str">
        <f aca="false">IF(OR(Q10="",M10="",M10=0),"",Q10/M10)</f>
        <v/>
      </c>
      <c r="S10" s="22" t="str">
        <f aca="false">IF(OR(Q10="",I10="",I10=0),"",Q10/I10)</f>
        <v/>
      </c>
      <c r="T10" s="23" t="str">
        <f aca="false">IF(OR(K10="",J10=""),"",K10-J10)</f>
        <v/>
      </c>
      <c r="U10" s="17"/>
    </row>
    <row r="11" customFormat="false" ht="15" hidden="false" customHeight="true" outlineLevel="0" collapsed="false">
      <c r="A11" s="6" t="n">
        <v>7</v>
      </c>
      <c r="B11" s="7"/>
      <c r="C11" s="8"/>
      <c r="D11" s="8"/>
      <c r="E11" s="8"/>
      <c r="F11" s="8"/>
      <c r="G11" s="9"/>
      <c r="H11" s="9"/>
      <c r="I11" s="10" t="str">
        <f aca="false">IF(G11="","",G11+IF(H11="",0,H11))</f>
        <v/>
      </c>
      <c r="J11" s="7"/>
      <c r="K11" s="7"/>
      <c r="L11" s="8"/>
      <c r="M11" s="9"/>
      <c r="N11" s="11"/>
      <c r="O11" s="10" t="str">
        <f aca="false">IF(OR(M11="",N11=""),"",M11*N11)</f>
        <v/>
      </c>
      <c r="P11" s="10" t="str">
        <f aca="false">IF(M11="","",M11-IF(O11="",0,O11))</f>
        <v/>
      </c>
      <c r="Q11" s="12" t="str">
        <f aca="false">IF(OR(P11="",I11=""),"",P11-I11)</f>
        <v/>
      </c>
      <c r="R11" s="13" t="str">
        <f aca="false">IF(OR(Q11="",M11="",M11=0),"",Q11/M11)</f>
        <v/>
      </c>
      <c r="S11" s="13" t="str">
        <f aca="false">IF(OR(Q11="",I11="",I11=0),"",Q11/I11)</f>
        <v/>
      </c>
      <c r="T11" s="14" t="str">
        <f aca="false">IF(OR(K11="",J11=""),"",K11-J11)</f>
        <v/>
      </c>
      <c r="U11" s="8"/>
    </row>
    <row r="12" customFormat="false" ht="15" hidden="false" customHeight="true" outlineLevel="0" collapsed="false">
      <c r="A12" s="15" t="n">
        <v>8</v>
      </c>
      <c r="B12" s="16"/>
      <c r="C12" s="17"/>
      <c r="D12" s="17"/>
      <c r="E12" s="17"/>
      <c r="F12" s="17"/>
      <c r="G12" s="18"/>
      <c r="H12" s="18"/>
      <c r="I12" s="19" t="str">
        <f aca="false">IF(G12="","",G12+IF(H12="",0,H12))</f>
        <v/>
      </c>
      <c r="J12" s="16"/>
      <c r="K12" s="16"/>
      <c r="L12" s="17"/>
      <c r="M12" s="18"/>
      <c r="N12" s="20"/>
      <c r="O12" s="19" t="str">
        <f aca="false">IF(OR(M12="",N12=""),"",M12*N12)</f>
        <v/>
      </c>
      <c r="P12" s="19" t="str">
        <f aca="false">IF(M12="","",M12-IF(O12="",0,O12))</f>
        <v/>
      </c>
      <c r="Q12" s="21" t="str">
        <f aca="false">IF(OR(P12="",I12=""),"",P12-I12)</f>
        <v/>
      </c>
      <c r="R12" s="22" t="str">
        <f aca="false">IF(OR(Q12="",M12="",M12=0),"",Q12/M12)</f>
        <v/>
      </c>
      <c r="S12" s="22" t="str">
        <f aca="false">IF(OR(Q12="",I12="",I12=0),"",Q12/I12)</f>
        <v/>
      </c>
      <c r="T12" s="23" t="str">
        <f aca="false">IF(OR(K12="",J12=""),"",K12-J12)</f>
        <v/>
      </c>
      <c r="U12" s="17"/>
    </row>
    <row r="13" customFormat="false" ht="15" hidden="false" customHeight="true" outlineLevel="0" collapsed="false">
      <c r="A13" s="6" t="n">
        <v>9</v>
      </c>
      <c r="B13" s="7"/>
      <c r="C13" s="8"/>
      <c r="D13" s="8"/>
      <c r="E13" s="8"/>
      <c r="F13" s="8"/>
      <c r="G13" s="9"/>
      <c r="H13" s="9"/>
      <c r="I13" s="10" t="str">
        <f aca="false">IF(G13="","",G13+IF(H13="",0,H13))</f>
        <v/>
      </c>
      <c r="J13" s="7"/>
      <c r="K13" s="7"/>
      <c r="L13" s="8"/>
      <c r="M13" s="9"/>
      <c r="N13" s="11"/>
      <c r="O13" s="10" t="str">
        <f aca="false">IF(OR(M13="",N13=""),"",M13*N13)</f>
        <v/>
      </c>
      <c r="P13" s="10" t="str">
        <f aca="false">IF(M13="","",M13-IF(O13="",0,O13))</f>
        <v/>
      </c>
      <c r="Q13" s="12" t="str">
        <f aca="false">IF(OR(P13="",I13=""),"",P13-I13)</f>
        <v/>
      </c>
      <c r="R13" s="13" t="str">
        <f aca="false">IF(OR(Q13="",M13="",M13=0),"",Q13/M13)</f>
        <v/>
      </c>
      <c r="S13" s="13" t="str">
        <f aca="false">IF(OR(Q13="",I13="",I13=0),"",Q13/I13)</f>
        <v/>
      </c>
      <c r="T13" s="14" t="str">
        <f aca="false">IF(OR(K13="",J13=""),"",K13-J13)</f>
        <v/>
      </c>
      <c r="U13" s="8"/>
    </row>
    <row r="14" customFormat="false" ht="15" hidden="false" customHeight="true" outlineLevel="0" collapsed="false">
      <c r="A14" s="15" t="n">
        <v>10</v>
      </c>
      <c r="B14" s="16"/>
      <c r="C14" s="17"/>
      <c r="D14" s="17"/>
      <c r="E14" s="17"/>
      <c r="F14" s="17"/>
      <c r="G14" s="18"/>
      <c r="H14" s="18"/>
      <c r="I14" s="19" t="str">
        <f aca="false">IF(G14="","",G14+IF(H14="",0,H14))</f>
        <v/>
      </c>
      <c r="J14" s="16"/>
      <c r="K14" s="16"/>
      <c r="L14" s="17"/>
      <c r="M14" s="18"/>
      <c r="N14" s="20"/>
      <c r="O14" s="19" t="str">
        <f aca="false">IF(OR(M14="",N14=""),"",M14*N14)</f>
        <v/>
      </c>
      <c r="P14" s="19" t="str">
        <f aca="false">IF(M14="","",M14-IF(O14="",0,O14))</f>
        <v/>
      </c>
      <c r="Q14" s="21" t="str">
        <f aca="false">IF(OR(P14="",I14=""),"",P14-I14)</f>
        <v/>
      </c>
      <c r="R14" s="22" t="str">
        <f aca="false">IF(OR(Q14="",M14="",M14=0),"",Q14/M14)</f>
        <v/>
      </c>
      <c r="S14" s="22" t="str">
        <f aca="false">IF(OR(Q14="",I14="",I14=0),"",Q14/I14)</f>
        <v/>
      </c>
      <c r="T14" s="23" t="str">
        <f aca="false">IF(OR(K14="",J14=""),"",K14-J14)</f>
        <v/>
      </c>
      <c r="U14" s="17"/>
    </row>
    <row r="15" customFormat="false" ht="15" hidden="false" customHeight="true" outlineLevel="0" collapsed="false">
      <c r="A15" s="6" t="n">
        <v>11</v>
      </c>
      <c r="B15" s="7"/>
      <c r="C15" s="8"/>
      <c r="D15" s="8"/>
      <c r="E15" s="8"/>
      <c r="F15" s="8"/>
      <c r="G15" s="9"/>
      <c r="H15" s="9"/>
      <c r="I15" s="10" t="str">
        <f aca="false">IF(G15="","",G15+IF(H15="",0,H15))</f>
        <v/>
      </c>
      <c r="J15" s="7"/>
      <c r="K15" s="7"/>
      <c r="L15" s="8"/>
      <c r="M15" s="9"/>
      <c r="N15" s="11"/>
      <c r="O15" s="10" t="str">
        <f aca="false">IF(OR(M15="",N15=""),"",M15*N15)</f>
        <v/>
      </c>
      <c r="P15" s="10" t="str">
        <f aca="false">IF(M15="","",M15-IF(O15="",0,O15))</f>
        <v/>
      </c>
      <c r="Q15" s="12" t="str">
        <f aca="false">IF(OR(P15="",I15=""),"",P15-I15)</f>
        <v/>
      </c>
      <c r="R15" s="13" t="str">
        <f aca="false">IF(OR(Q15="",M15="",M15=0),"",Q15/M15)</f>
        <v/>
      </c>
      <c r="S15" s="13" t="str">
        <f aca="false">IF(OR(Q15="",I15="",I15=0),"",Q15/I15)</f>
        <v/>
      </c>
      <c r="T15" s="14" t="str">
        <f aca="false">IF(OR(K15="",J15=""),"",K15-J15)</f>
        <v/>
      </c>
      <c r="U15" s="8"/>
    </row>
    <row r="16" customFormat="false" ht="15" hidden="false" customHeight="true" outlineLevel="0" collapsed="false">
      <c r="A16" s="15" t="n">
        <v>12</v>
      </c>
      <c r="B16" s="16"/>
      <c r="C16" s="17"/>
      <c r="D16" s="17"/>
      <c r="E16" s="17"/>
      <c r="F16" s="17"/>
      <c r="G16" s="18"/>
      <c r="H16" s="18"/>
      <c r="I16" s="19" t="str">
        <f aca="false">IF(G16="","",G16+IF(H16="",0,H16))</f>
        <v/>
      </c>
      <c r="J16" s="16"/>
      <c r="K16" s="16"/>
      <c r="L16" s="17"/>
      <c r="M16" s="18"/>
      <c r="N16" s="20"/>
      <c r="O16" s="19" t="str">
        <f aca="false">IF(OR(M16="",N16=""),"",M16*N16)</f>
        <v/>
      </c>
      <c r="P16" s="19" t="str">
        <f aca="false">IF(M16="","",M16-IF(O16="",0,O16))</f>
        <v/>
      </c>
      <c r="Q16" s="21" t="str">
        <f aca="false">IF(OR(P16="",I16=""),"",P16-I16)</f>
        <v/>
      </c>
      <c r="R16" s="22" t="str">
        <f aca="false">IF(OR(Q16="",M16="",M16=0),"",Q16/M16)</f>
        <v/>
      </c>
      <c r="S16" s="22" t="str">
        <f aca="false">IF(OR(Q16="",I16="",I16=0),"",Q16/I16)</f>
        <v/>
      </c>
      <c r="T16" s="23" t="str">
        <f aca="false">IF(OR(K16="",J16=""),"",K16-J16)</f>
        <v/>
      </c>
      <c r="U16" s="17"/>
    </row>
    <row r="17" customFormat="false" ht="15" hidden="false" customHeight="true" outlineLevel="0" collapsed="false">
      <c r="A17" s="6" t="n">
        <v>13</v>
      </c>
      <c r="B17" s="7"/>
      <c r="C17" s="8"/>
      <c r="D17" s="8"/>
      <c r="E17" s="8"/>
      <c r="F17" s="8"/>
      <c r="G17" s="9"/>
      <c r="H17" s="9"/>
      <c r="I17" s="10" t="str">
        <f aca="false">IF(G17="","",G17+IF(H17="",0,H17))</f>
        <v/>
      </c>
      <c r="J17" s="7"/>
      <c r="K17" s="7"/>
      <c r="L17" s="8"/>
      <c r="M17" s="9"/>
      <c r="N17" s="11"/>
      <c r="O17" s="10" t="str">
        <f aca="false">IF(OR(M17="",N17=""),"",M17*N17)</f>
        <v/>
      </c>
      <c r="P17" s="10" t="str">
        <f aca="false">IF(M17="","",M17-IF(O17="",0,O17))</f>
        <v/>
      </c>
      <c r="Q17" s="12" t="str">
        <f aca="false">IF(OR(P17="",I17=""),"",P17-I17)</f>
        <v/>
      </c>
      <c r="R17" s="13" t="str">
        <f aca="false">IF(OR(Q17="",M17="",M17=0),"",Q17/M17)</f>
        <v/>
      </c>
      <c r="S17" s="13" t="str">
        <f aca="false">IF(OR(Q17="",I17="",I17=0),"",Q17/I17)</f>
        <v/>
      </c>
      <c r="T17" s="14" t="str">
        <f aca="false">IF(OR(K17="",J17=""),"",K17-J17)</f>
        <v/>
      </c>
      <c r="U17" s="8"/>
    </row>
    <row r="18" customFormat="false" ht="15" hidden="false" customHeight="true" outlineLevel="0" collapsed="false">
      <c r="A18" s="15" t="n">
        <v>14</v>
      </c>
      <c r="B18" s="16"/>
      <c r="C18" s="17"/>
      <c r="D18" s="17"/>
      <c r="E18" s="17"/>
      <c r="F18" s="17"/>
      <c r="G18" s="18"/>
      <c r="H18" s="18"/>
      <c r="I18" s="19" t="str">
        <f aca="false">IF(G18="","",G18+IF(H18="",0,H18))</f>
        <v/>
      </c>
      <c r="J18" s="16"/>
      <c r="K18" s="16"/>
      <c r="L18" s="17"/>
      <c r="M18" s="18"/>
      <c r="N18" s="20"/>
      <c r="O18" s="19" t="str">
        <f aca="false">IF(OR(M18="",N18=""),"",M18*N18)</f>
        <v/>
      </c>
      <c r="P18" s="19" t="str">
        <f aca="false">IF(M18="","",M18-IF(O18="",0,O18))</f>
        <v/>
      </c>
      <c r="Q18" s="21" t="str">
        <f aca="false">IF(OR(P18="",I18=""),"",P18-I18)</f>
        <v/>
      </c>
      <c r="R18" s="22" t="str">
        <f aca="false">IF(OR(Q18="",M18="",M18=0),"",Q18/M18)</f>
        <v/>
      </c>
      <c r="S18" s="22" t="str">
        <f aca="false">IF(OR(Q18="",I18="",I18=0),"",Q18/I18)</f>
        <v/>
      </c>
      <c r="T18" s="23" t="str">
        <f aca="false">IF(OR(K18="",J18=""),"",K18-J18)</f>
        <v/>
      </c>
      <c r="U18" s="17"/>
    </row>
    <row r="19" customFormat="false" ht="15" hidden="false" customHeight="true" outlineLevel="0" collapsed="false">
      <c r="A19" s="6" t="n">
        <v>15</v>
      </c>
      <c r="B19" s="7"/>
      <c r="C19" s="8"/>
      <c r="D19" s="8"/>
      <c r="E19" s="8"/>
      <c r="F19" s="8"/>
      <c r="G19" s="9"/>
      <c r="H19" s="9"/>
      <c r="I19" s="10" t="str">
        <f aca="false">IF(G19="","",G19+IF(H19="",0,H19))</f>
        <v/>
      </c>
      <c r="J19" s="7"/>
      <c r="K19" s="7"/>
      <c r="L19" s="8"/>
      <c r="M19" s="9"/>
      <c r="N19" s="11"/>
      <c r="O19" s="10" t="str">
        <f aca="false">IF(OR(M19="",N19=""),"",M19*N19)</f>
        <v/>
      </c>
      <c r="P19" s="10" t="str">
        <f aca="false">IF(M19="","",M19-IF(O19="",0,O19))</f>
        <v/>
      </c>
      <c r="Q19" s="12" t="str">
        <f aca="false">IF(OR(P19="",I19=""),"",P19-I19)</f>
        <v/>
      </c>
      <c r="R19" s="13" t="str">
        <f aca="false">IF(OR(Q19="",M19="",M19=0),"",Q19/M19)</f>
        <v/>
      </c>
      <c r="S19" s="13" t="str">
        <f aca="false">IF(OR(Q19="",I19="",I19=0),"",Q19/I19)</f>
        <v/>
      </c>
      <c r="T19" s="14" t="str">
        <f aca="false">IF(OR(K19="",J19=""),"",K19-J19)</f>
        <v/>
      </c>
      <c r="U19" s="8"/>
    </row>
    <row r="20" customFormat="false" ht="15" hidden="false" customHeight="true" outlineLevel="0" collapsed="false">
      <c r="A20" s="15" t="n">
        <v>16</v>
      </c>
      <c r="B20" s="16"/>
      <c r="C20" s="17"/>
      <c r="D20" s="17"/>
      <c r="E20" s="17"/>
      <c r="F20" s="17"/>
      <c r="G20" s="18"/>
      <c r="H20" s="18"/>
      <c r="I20" s="19" t="str">
        <f aca="false">IF(G20="","",G20+IF(H20="",0,H20))</f>
        <v/>
      </c>
      <c r="J20" s="16"/>
      <c r="K20" s="16"/>
      <c r="L20" s="17"/>
      <c r="M20" s="18"/>
      <c r="N20" s="20"/>
      <c r="O20" s="19" t="str">
        <f aca="false">IF(OR(M20="",N20=""),"",M20*N20)</f>
        <v/>
      </c>
      <c r="P20" s="19" t="str">
        <f aca="false">IF(M20="","",M20-IF(O20="",0,O20))</f>
        <v/>
      </c>
      <c r="Q20" s="21" t="str">
        <f aca="false">IF(OR(P20="",I20=""),"",P20-I20)</f>
        <v/>
      </c>
      <c r="R20" s="22" t="str">
        <f aca="false">IF(OR(Q20="",M20="",M20=0),"",Q20/M20)</f>
        <v/>
      </c>
      <c r="S20" s="22" t="str">
        <f aca="false">IF(OR(Q20="",I20="",I20=0),"",Q20/I20)</f>
        <v/>
      </c>
      <c r="T20" s="23" t="str">
        <f aca="false">IF(OR(K20="",J20=""),"",K20-J20)</f>
        <v/>
      </c>
      <c r="U20" s="17"/>
    </row>
    <row r="21" customFormat="false" ht="15" hidden="false" customHeight="true" outlineLevel="0" collapsed="false">
      <c r="A21" s="6" t="n">
        <v>17</v>
      </c>
      <c r="B21" s="7"/>
      <c r="C21" s="8"/>
      <c r="D21" s="8"/>
      <c r="E21" s="8"/>
      <c r="F21" s="8"/>
      <c r="G21" s="9"/>
      <c r="H21" s="9"/>
      <c r="I21" s="10" t="str">
        <f aca="false">IF(G21="","",G21+IF(H21="",0,H21))</f>
        <v/>
      </c>
      <c r="J21" s="7"/>
      <c r="K21" s="7"/>
      <c r="L21" s="8"/>
      <c r="M21" s="9"/>
      <c r="N21" s="11"/>
      <c r="O21" s="10" t="str">
        <f aca="false">IF(OR(M21="",N21=""),"",M21*N21)</f>
        <v/>
      </c>
      <c r="P21" s="10" t="str">
        <f aca="false">IF(M21="","",M21-IF(O21="",0,O21))</f>
        <v/>
      </c>
      <c r="Q21" s="12" t="str">
        <f aca="false">IF(OR(P21="",I21=""),"",P21-I21)</f>
        <v/>
      </c>
      <c r="R21" s="13" t="str">
        <f aca="false">IF(OR(Q21="",M21="",M21=0),"",Q21/M21)</f>
        <v/>
      </c>
      <c r="S21" s="13" t="str">
        <f aca="false">IF(OR(Q21="",I21="",I21=0),"",Q21/I21)</f>
        <v/>
      </c>
      <c r="T21" s="14" t="str">
        <f aca="false">IF(OR(K21="",J21=""),"",K21-J21)</f>
        <v/>
      </c>
      <c r="U21" s="8"/>
    </row>
    <row r="22" customFormat="false" ht="15" hidden="false" customHeight="true" outlineLevel="0" collapsed="false">
      <c r="A22" s="15" t="n">
        <v>18</v>
      </c>
      <c r="B22" s="16"/>
      <c r="C22" s="17"/>
      <c r="D22" s="17"/>
      <c r="E22" s="17"/>
      <c r="F22" s="17"/>
      <c r="G22" s="18"/>
      <c r="H22" s="18"/>
      <c r="I22" s="19" t="str">
        <f aca="false">IF(G22="","",G22+IF(H22="",0,H22))</f>
        <v/>
      </c>
      <c r="J22" s="16"/>
      <c r="K22" s="16"/>
      <c r="L22" s="17"/>
      <c r="M22" s="18"/>
      <c r="N22" s="20"/>
      <c r="O22" s="19" t="str">
        <f aca="false">IF(OR(M22="",N22=""),"",M22*N22)</f>
        <v/>
      </c>
      <c r="P22" s="19" t="str">
        <f aca="false">IF(M22="","",M22-IF(O22="",0,O22))</f>
        <v/>
      </c>
      <c r="Q22" s="21" t="str">
        <f aca="false">IF(OR(P22="",I22=""),"",P22-I22)</f>
        <v/>
      </c>
      <c r="R22" s="22" t="str">
        <f aca="false">IF(OR(Q22="",M22="",M22=0),"",Q22/M22)</f>
        <v/>
      </c>
      <c r="S22" s="22" t="str">
        <f aca="false">IF(OR(Q22="",I22="",I22=0),"",Q22/I22)</f>
        <v/>
      </c>
      <c r="T22" s="23" t="str">
        <f aca="false">IF(OR(K22="",J22=""),"",K22-J22)</f>
        <v/>
      </c>
      <c r="U22" s="17"/>
    </row>
    <row r="23" customFormat="false" ht="15" hidden="false" customHeight="true" outlineLevel="0" collapsed="false">
      <c r="A23" s="6" t="n">
        <v>19</v>
      </c>
      <c r="B23" s="7"/>
      <c r="C23" s="8"/>
      <c r="D23" s="8"/>
      <c r="E23" s="8"/>
      <c r="F23" s="8"/>
      <c r="G23" s="9"/>
      <c r="H23" s="9"/>
      <c r="I23" s="10" t="str">
        <f aca="false">IF(G23="","",G23+IF(H23="",0,H23))</f>
        <v/>
      </c>
      <c r="J23" s="7"/>
      <c r="K23" s="7"/>
      <c r="L23" s="8"/>
      <c r="M23" s="9"/>
      <c r="N23" s="11"/>
      <c r="O23" s="10" t="str">
        <f aca="false">IF(OR(M23="",N23=""),"",M23*N23)</f>
        <v/>
      </c>
      <c r="P23" s="10" t="str">
        <f aca="false">IF(M23="","",M23-IF(O23="",0,O23))</f>
        <v/>
      </c>
      <c r="Q23" s="12" t="str">
        <f aca="false">IF(OR(P23="",I23=""),"",P23-I23)</f>
        <v/>
      </c>
      <c r="R23" s="13" t="str">
        <f aca="false">IF(OR(Q23="",M23="",M23=0),"",Q23/M23)</f>
        <v/>
      </c>
      <c r="S23" s="13" t="str">
        <f aca="false">IF(OR(Q23="",I23="",I23=0),"",Q23/I23)</f>
        <v/>
      </c>
      <c r="T23" s="14" t="str">
        <f aca="false">IF(OR(K23="",J23=""),"",K23-J23)</f>
        <v/>
      </c>
      <c r="U23" s="8"/>
    </row>
    <row r="24" customFormat="false" ht="15" hidden="false" customHeight="true" outlineLevel="0" collapsed="false">
      <c r="A24" s="15" t="n">
        <v>20</v>
      </c>
      <c r="B24" s="16"/>
      <c r="C24" s="17"/>
      <c r="D24" s="17"/>
      <c r="E24" s="17"/>
      <c r="F24" s="17"/>
      <c r="G24" s="18"/>
      <c r="H24" s="18"/>
      <c r="I24" s="19" t="str">
        <f aca="false">IF(G24="","",G24+IF(H24="",0,H24))</f>
        <v/>
      </c>
      <c r="J24" s="16"/>
      <c r="K24" s="16"/>
      <c r="L24" s="17"/>
      <c r="M24" s="18"/>
      <c r="N24" s="20"/>
      <c r="O24" s="19" t="str">
        <f aca="false">IF(OR(M24="",N24=""),"",M24*N24)</f>
        <v/>
      </c>
      <c r="P24" s="19" t="str">
        <f aca="false">IF(M24="","",M24-IF(O24="",0,O24))</f>
        <v/>
      </c>
      <c r="Q24" s="21" t="str">
        <f aca="false">IF(OR(P24="",I24=""),"",P24-I24)</f>
        <v/>
      </c>
      <c r="R24" s="22" t="str">
        <f aca="false">IF(OR(Q24="",M24="",M24=0),"",Q24/M24)</f>
        <v/>
      </c>
      <c r="S24" s="22" t="str">
        <f aca="false">IF(OR(Q24="",I24="",I24=0),"",Q24/I24)</f>
        <v/>
      </c>
      <c r="T24" s="23" t="str">
        <f aca="false">IF(OR(K24="",J24=""),"",K24-J24)</f>
        <v/>
      </c>
      <c r="U24" s="17"/>
    </row>
    <row r="25" customFormat="false" ht="15" hidden="false" customHeight="true" outlineLevel="0" collapsed="false">
      <c r="A25" s="6" t="n">
        <v>21</v>
      </c>
      <c r="B25" s="7"/>
      <c r="C25" s="8"/>
      <c r="D25" s="8"/>
      <c r="E25" s="8"/>
      <c r="F25" s="8"/>
      <c r="G25" s="9"/>
      <c r="H25" s="9"/>
      <c r="I25" s="10" t="str">
        <f aca="false">IF(G25="","",G25+IF(H25="",0,H25))</f>
        <v/>
      </c>
      <c r="J25" s="7"/>
      <c r="K25" s="7"/>
      <c r="L25" s="8"/>
      <c r="M25" s="9"/>
      <c r="N25" s="11"/>
      <c r="O25" s="10" t="str">
        <f aca="false">IF(OR(M25="",N25=""),"",M25*N25)</f>
        <v/>
      </c>
      <c r="P25" s="10" t="str">
        <f aca="false">IF(M25="","",M25-IF(O25="",0,O25))</f>
        <v/>
      </c>
      <c r="Q25" s="12" t="str">
        <f aca="false">IF(OR(P25="",I25=""),"",P25-I25)</f>
        <v/>
      </c>
      <c r="R25" s="13" t="str">
        <f aca="false">IF(OR(Q25="",M25="",M25=0),"",Q25/M25)</f>
        <v/>
      </c>
      <c r="S25" s="13" t="str">
        <f aca="false">IF(OR(Q25="",I25="",I25=0),"",Q25/I25)</f>
        <v/>
      </c>
      <c r="T25" s="14" t="str">
        <f aca="false">IF(OR(K25="",J25=""),"",K25-J25)</f>
        <v/>
      </c>
      <c r="U25" s="8"/>
    </row>
    <row r="26" customFormat="false" ht="15" hidden="false" customHeight="true" outlineLevel="0" collapsed="false">
      <c r="A26" s="15" t="n">
        <v>22</v>
      </c>
      <c r="B26" s="16"/>
      <c r="C26" s="17"/>
      <c r="D26" s="17"/>
      <c r="E26" s="17"/>
      <c r="F26" s="17"/>
      <c r="G26" s="18"/>
      <c r="H26" s="18"/>
      <c r="I26" s="19" t="str">
        <f aca="false">IF(G26="","",G26+IF(H26="",0,H26))</f>
        <v/>
      </c>
      <c r="J26" s="16"/>
      <c r="K26" s="16"/>
      <c r="L26" s="17"/>
      <c r="M26" s="18"/>
      <c r="N26" s="20"/>
      <c r="O26" s="19" t="str">
        <f aca="false">IF(OR(M26="",N26=""),"",M26*N26)</f>
        <v/>
      </c>
      <c r="P26" s="19" t="str">
        <f aca="false">IF(M26="","",M26-IF(O26="",0,O26))</f>
        <v/>
      </c>
      <c r="Q26" s="21" t="str">
        <f aca="false">IF(OR(P26="",I26=""),"",P26-I26)</f>
        <v/>
      </c>
      <c r="R26" s="22" t="str">
        <f aca="false">IF(OR(Q26="",M26="",M26=0),"",Q26/M26)</f>
        <v/>
      </c>
      <c r="S26" s="22" t="str">
        <f aca="false">IF(OR(Q26="",I26="",I26=0),"",Q26/I26)</f>
        <v/>
      </c>
      <c r="T26" s="23" t="str">
        <f aca="false">IF(OR(K26="",J26=""),"",K26-J26)</f>
        <v/>
      </c>
      <c r="U26" s="17"/>
    </row>
    <row r="27" customFormat="false" ht="15" hidden="false" customHeight="true" outlineLevel="0" collapsed="false">
      <c r="A27" s="6" t="n">
        <v>23</v>
      </c>
      <c r="B27" s="7"/>
      <c r="C27" s="8"/>
      <c r="D27" s="8"/>
      <c r="E27" s="8"/>
      <c r="F27" s="8"/>
      <c r="G27" s="9"/>
      <c r="H27" s="9"/>
      <c r="I27" s="10" t="str">
        <f aca="false">IF(G27="","",G27+IF(H27="",0,H27))</f>
        <v/>
      </c>
      <c r="J27" s="7"/>
      <c r="K27" s="7"/>
      <c r="L27" s="8"/>
      <c r="M27" s="9"/>
      <c r="N27" s="11"/>
      <c r="O27" s="10" t="str">
        <f aca="false">IF(OR(M27="",N27=""),"",M27*N27)</f>
        <v/>
      </c>
      <c r="P27" s="10" t="str">
        <f aca="false">IF(M27="","",M27-IF(O27="",0,O27))</f>
        <v/>
      </c>
      <c r="Q27" s="12" t="str">
        <f aca="false">IF(OR(P27="",I27=""),"",P27-I27)</f>
        <v/>
      </c>
      <c r="R27" s="13" t="str">
        <f aca="false">IF(OR(Q27="",M27="",M27=0),"",Q27/M27)</f>
        <v/>
      </c>
      <c r="S27" s="13" t="str">
        <f aca="false">IF(OR(Q27="",I27="",I27=0),"",Q27/I27)</f>
        <v/>
      </c>
      <c r="T27" s="14" t="str">
        <f aca="false">IF(OR(K27="",J27=""),"",K27-J27)</f>
        <v/>
      </c>
      <c r="U27" s="8"/>
    </row>
    <row r="28" customFormat="false" ht="15" hidden="false" customHeight="true" outlineLevel="0" collapsed="false">
      <c r="A28" s="15" t="n">
        <v>24</v>
      </c>
      <c r="B28" s="16"/>
      <c r="C28" s="17"/>
      <c r="D28" s="17"/>
      <c r="E28" s="17"/>
      <c r="F28" s="17"/>
      <c r="G28" s="18"/>
      <c r="H28" s="18"/>
      <c r="I28" s="19" t="str">
        <f aca="false">IF(G28="","",G28+IF(H28="",0,H28))</f>
        <v/>
      </c>
      <c r="J28" s="16"/>
      <c r="K28" s="16"/>
      <c r="L28" s="17"/>
      <c r="M28" s="18"/>
      <c r="N28" s="20"/>
      <c r="O28" s="19" t="str">
        <f aca="false">IF(OR(M28="",N28=""),"",M28*N28)</f>
        <v/>
      </c>
      <c r="P28" s="19" t="str">
        <f aca="false">IF(M28="","",M28-IF(O28="",0,O28))</f>
        <v/>
      </c>
      <c r="Q28" s="21" t="str">
        <f aca="false">IF(OR(P28="",I28=""),"",P28-I28)</f>
        <v/>
      </c>
      <c r="R28" s="22" t="str">
        <f aca="false">IF(OR(Q28="",M28="",M28=0),"",Q28/M28)</f>
        <v/>
      </c>
      <c r="S28" s="22" t="str">
        <f aca="false">IF(OR(Q28="",I28="",I28=0),"",Q28/I28)</f>
        <v/>
      </c>
      <c r="T28" s="23" t="str">
        <f aca="false">IF(OR(K28="",J28=""),"",K28-J28)</f>
        <v/>
      </c>
      <c r="U28" s="17"/>
    </row>
    <row r="29" customFormat="false" ht="15" hidden="false" customHeight="true" outlineLevel="0" collapsed="false">
      <c r="A29" s="6" t="n">
        <v>25</v>
      </c>
      <c r="B29" s="7"/>
      <c r="C29" s="8"/>
      <c r="D29" s="8"/>
      <c r="E29" s="8"/>
      <c r="F29" s="8"/>
      <c r="G29" s="9"/>
      <c r="H29" s="9"/>
      <c r="I29" s="10" t="str">
        <f aca="false">IF(G29="","",G29+IF(H29="",0,H29))</f>
        <v/>
      </c>
      <c r="J29" s="7"/>
      <c r="K29" s="7"/>
      <c r="L29" s="8"/>
      <c r="M29" s="9"/>
      <c r="N29" s="11"/>
      <c r="O29" s="10" t="str">
        <f aca="false">IF(OR(M29="",N29=""),"",M29*N29)</f>
        <v/>
      </c>
      <c r="P29" s="10" t="str">
        <f aca="false">IF(M29="","",M29-IF(O29="",0,O29))</f>
        <v/>
      </c>
      <c r="Q29" s="12" t="str">
        <f aca="false">IF(OR(P29="",I29=""),"",P29-I29)</f>
        <v/>
      </c>
      <c r="R29" s="13" t="str">
        <f aca="false">IF(OR(Q29="",M29="",M29=0),"",Q29/M29)</f>
        <v/>
      </c>
      <c r="S29" s="13" t="str">
        <f aca="false">IF(OR(Q29="",I29="",I29=0),"",Q29/I29)</f>
        <v/>
      </c>
      <c r="T29" s="14" t="str">
        <f aca="false">IF(OR(K29="",J29=""),"",K29-J29)</f>
        <v/>
      </c>
      <c r="U29" s="8"/>
    </row>
    <row r="30" customFormat="false" ht="15" hidden="false" customHeight="true" outlineLevel="0" collapsed="false">
      <c r="A30" s="15" t="n">
        <v>26</v>
      </c>
      <c r="B30" s="16"/>
      <c r="C30" s="17"/>
      <c r="D30" s="17"/>
      <c r="E30" s="17"/>
      <c r="F30" s="17"/>
      <c r="G30" s="18"/>
      <c r="H30" s="18"/>
      <c r="I30" s="19" t="str">
        <f aca="false">IF(G30="","",G30+IF(H30="",0,H30))</f>
        <v/>
      </c>
      <c r="J30" s="16"/>
      <c r="K30" s="16"/>
      <c r="L30" s="17"/>
      <c r="M30" s="18"/>
      <c r="N30" s="20"/>
      <c r="O30" s="19" t="str">
        <f aca="false">IF(OR(M30="",N30=""),"",M30*N30)</f>
        <v/>
      </c>
      <c r="P30" s="19" t="str">
        <f aca="false">IF(M30="","",M30-IF(O30="",0,O30))</f>
        <v/>
      </c>
      <c r="Q30" s="21" t="str">
        <f aca="false">IF(OR(P30="",I30=""),"",P30-I30)</f>
        <v/>
      </c>
      <c r="R30" s="22" t="str">
        <f aca="false">IF(OR(Q30="",M30="",M30=0),"",Q30/M30)</f>
        <v/>
      </c>
      <c r="S30" s="22" t="str">
        <f aca="false">IF(OR(Q30="",I30="",I30=0),"",Q30/I30)</f>
        <v/>
      </c>
      <c r="T30" s="23" t="str">
        <f aca="false">IF(OR(K30="",J30=""),"",K30-J30)</f>
        <v/>
      </c>
      <c r="U30" s="17"/>
    </row>
    <row r="31" customFormat="false" ht="15" hidden="false" customHeight="true" outlineLevel="0" collapsed="false">
      <c r="A31" s="6" t="n">
        <v>27</v>
      </c>
      <c r="B31" s="7"/>
      <c r="C31" s="8"/>
      <c r="D31" s="8"/>
      <c r="E31" s="8"/>
      <c r="F31" s="8"/>
      <c r="G31" s="9"/>
      <c r="H31" s="9"/>
      <c r="I31" s="10" t="str">
        <f aca="false">IF(G31="","",G31+IF(H31="",0,H31))</f>
        <v/>
      </c>
      <c r="J31" s="7"/>
      <c r="K31" s="7"/>
      <c r="L31" s="8"/>
      <c r="M31" s="9"/>
      <c r="N31" s="11"/>
      <c r="O31" s="10" t="str">
        <f aca="false">IF(OR(M31="",N31=""),"",M31*N31)</f>
        <v/>
      </c>
      <c r="P31" s="10" t="str">
        <f aca="false">IF(M31="","",M31-IF(O31="",0,O31))</f>
        <v/>
      </c>
      <c r="Q31" s="12" t="str">
        <f aca="false">IF(OR(P31="",I31=""),"",P31-I31)</f>
        <v/>
      </c>
      <c r="R31" s="13" t="str">
        <f aca="false">IF(OR(Q31="",M31="",M31=0),"",Q31/M31)</f>
        <v/>
      </c>
      <c r="S31" s="13" t="str">
        <f aca="false">IF(OR(Q31="",I31="",I31=0),"",Q31/I31)</f>
        <v/>
      </c>
      <c r="T31" s="14" t="str">
        <f aca="false">IF(OR(K31="",J31=""),"",K31-J31)</f>
        <v/>
      </c>
      <c r="U31" s="8"/>
    </row>
    <row r="32" customFormat="false" ht="15" hidden="false" customHeight="true" outlineLevel="0" collapsed="false">
      <c r="A32" s="15" t="n">
        <v>28</v>
      </c>
      <c r="B32" s="16"/>
      <c r="C32" s="17"/>
      <c r="D32" s="17"/>
      <c r="E32" s="17"/>
      <c r="F32" s="17"/>
      <c r="G32" s="18"/>
      <c r="H32" s="18"/>
      <c r="I32" s="19" t="str">
        <f aca="false">IF(G32="","",G32+IF(H32="",0,H32))</f>
        <v/>
      </c>
      <c r="J32" s="16"/>
      <c r="K32" s="16"/>
      <c r="L32" s="17"/>
      <c r="M32" s="18"/>
      <c r="N32" s="20"/>
      <c r="O32" s="19" t="str">
        <f aca="false">IF(OR(M32="",N32=""),"",M32*N32)</f>
        <v/>
      </c>
      <c r="P32" s="19" t="str">
        <f aca="false">IF(M32="","",M32-IF(O32="",0,O32))</f>
        <v/>
      </c>
      <c r="Q32" s="21" t="str">
        <f aca="false">IF(OR(P32="",I32=""),"",P32-I32)</f>
        <v/>
      </c>
      <c r="R32" s="22" t="str">
        <f aca="false">IF(OR(Q32="",M32="",M32=0),"",Q32/M32)</f>
        <v/>
      </c>
      <c r="S32" s="22" t="str">
        <f aca="false">IF(OR(Q32="",I32="",I32=0),"",Q32/I32)</f>
        <v/>
      </c>
      <c r="T32" s="23" t="str">
        <f aca="false">IF(OR(K32="",J32=""),"",K32-J32)</f>
        <v/>
      </c>
      <c r="U32" s="17"/>
    </row>
    <row r="33" customFormat="false" ht="15" hidden="false" customHeight="true" outlineLevel="0" collapsed="false">
      <c r="A33" s="6" t="n">
        <v>29</v>
      </c>
      <c r="B33" s="7"/>
      <c r="C33" s="8"/>
      <c r="D33" s="8"/>
      <c r="E33" s="8"/>
      <c r="F33" s="8"/>
      <c r="G33" s="9"/>
      <c r="H33" s="9"/>
      <c r="I33" s="10" t="str">
        <f aca="false">IF(G33="","",G33+IF(H33="",0,H33))</f>
        <v/>
      </c>
      <c r="J33" s="7"/>
      <c r="K33" s="7"/>
      <c r="L33" s="8"/>
      <c r="M33" s="9"/>
      <c r="N33" s="11"/>
      <c r="O33" s="10" t="str">
        <f aca="false">IF(OR(M33="",N33=""),"",M33*N33)</f>
        <v/>
      </c>
      <c r="P33" s="10" t="str">
        <f aca="false">IF(M33="","",M33-IF(O33="",0,O33))</f>
        <v/>
      </c>
      <c r="Q33" s="12" t="str">
        <f aca="false">IF(OR(P33="",I33=""),"",P33-I33)</f>
        <v/>
      </c>
      <c r="R33" s="13" t="str">
        <f aca="false">IF(OR(Q33="",M33="",M33=0),"",Q33/M33)</f>
        <v/>
      </c>
      <c r="S33" s="13" t="str">
        <f aca="false">IF(OR(Q33="",I33="",I33=0),"",Q33/I33)</f>
        <v/>
      </c>
      <c r="T33" s="14" t="str">
        <f aca="false">IF(OR(K33="",J33=""),"",K33-J33)</f>
        <v/>
      </c>
      <c r="U33" s="8"/>
    </row>
    <row r="34" customFormat="false" ht="15" hidden="false" customHeight="true" outlineLevel="0" collapsed="false">
      <c r="A34" s="15" t="n">
        <v>30</v>
      </c>
      <c r="B34" s="16"/>
      <c r="C34" s="17"/>
      <c r="D34" s="17"/>
      <c r="E34" s="17"/>
      <c r="F34" s="17"/>
      <c r="G34" s="18"/>
      <c r="H34" s="18"/>
      <c r="I34" s="19" t="str">
        <f aca="false">IF(G34="","",G34+IF(H34="",0,H34))</f>
        <v/>
      </c>
      <c r="J34" s="16"/>
      <c r="K34" s="16"/>
      <c r="L34" s="17"/>
      <c r="M34" s="18"/>
      <c r="N34" s="20"/>
      <c r="O34" s="19" t="str">
        <f aca="false">IF(OR(M34="",N34=""),"",M34*N34)</f>
        <v/>
      </c>
      <c r="P34" s="19" t="str">
        <f aca="false">IF(M34="","",M34-IF(O34="",0,O34))</f>
        <v/>
      </c>
      <c r="Q34" s="21" t="str">
        <f aca="false">IF(OR(P34="",I34=""),"",P34-I34)</f>
        <v/>
      </c>
      <c r="R34" s="22" t="str">
        <f aca="false">IF(OR(Q34="",M34="",M34=0),"",Q34/M34)</f>
        <v/>
      </c>
      <c r="S34" s="22" t="str">
        <f aca="false">IF(OR(Q34="",I34="",I34=0),"",Q34/I34)</f>
        <v/>
      </c>
      <c r="T34" s="23" t="str">
        <f aca="false">IF(OR(K34="",J34=""),"",K34-J34)</f>
        <v/>
      </c>
      <c r="U34" s="17"/>
    </row>
    <row r="35" customFormat="false" ht="15" hidden="false" customHeight="true" outlineLevel="0" collapsed="false">
      <c r="A35" s="6" t="n">
        <v>31</v>
      </c>
      <c r="B35" s="7"/>
      <c r="C35" s="8"/>
      <c r="D35" s="8"/>
      <c r="E35" s="8"/>
      <c r="F35" s="8"/>
      <c r="G35" s="9"/>
      <c r="H35" s="9"/>
      <c r="I35" s="10" t="str">
        <f aca="false">IF(G35="","",G35+IF(H35="",0,H35))</f>
        <v/>
      </c>
      <c r="J35" s="7"/>
      <c r="K35" s="7"/>
      <c r="L35" s="8"/>
      <c r="M35" s="9"/>
      <c r="N35" s="11"/>
      <c r="O35" s="10" t="str">
        <f aca="false">IF(OR(M35="",N35=""),"",M35*N35)</f>
        <v/>
      </c>
      <c r="P35" s="10" t="str">
        <f aca="false">IF(M35="","",M35-IF(O35="",0,O35))</f>
        <v/>
      </c>
      <c r="Q35" s="12" t="str">
        <f aca="false">IF(OR(P35="",I35=""),"",P35-I35)</f>
        <v/>
      </c>
      <c r="R35" s="13" t="str">
        <f aca="false">IF(OR(Q35="",M35="",M35=0),"",Q35/M35)</f>
        <v/>
      </c>
      <c r="S35" s="13" t="str">
        <f aca="false">IF(OR(Q35="",I35="",I35=0),"",Q35/I35)</f>
        <v/>
      </c>
      <c r="T35" s="14" t="str">
        <f aca="false">IF(OR(K35="",J35=""),"",K35-J35)</f>
        <v/>
      </c>
      <c r="U35" s="8"/>
    </row>
    <row r="36" customFormat="false" ht="15" hidden="false" customHeight="true" outlineLevel="0" collapsed="false">
      <c r="A36" s="15" t="n">
        <v>32</v>
      </c>
      <c r="B36" s="16"/>
      <c r="C36" s="17"/>
      <c r="D36" s="17"/>
      <c r="E36" s="17"/>
      <c r="F36" s="17"/>
      <c r="G36" s="18"/>
      <c r="H36" s="18"/>
      <c r="I36" s="19" t="str">
        <f aca="false">IF(G36="","",G36+IF(H36="",0,H36))</f>
        <v/>
      </c>
      <c r="J36" s="16"/>
      <c r="K36" s="16"/>
      <c r="L36" s="17"/>
      <c r="M36" s="18"/>
      <c r="N36" s="20"/>
      <c r="O36" s="19" t="str">
        <f aca="false">IF(OR(M36="",N36=""),"",M36*N36)</f>
        <v/>
      </c>
      <c r="P36" s="19" t="str">
        <f aca="false">IF(M36="","",M36-IF(O36="",0,O36))</f>
        <v/>
      </c>
      <c r="Q36" s="21" t="str">
        <f aca="false">IF(OR(P36="",I36=""),"",P36-I36)</f>
        <v/>
      </c>
      <c r="R36" s="22" t="str">
        <f aca="false">IF(OR(Q36="",M36="",M36=0),"",Q36/M36)</f>
        <v/>
      </c>
      <c r="S36" s="22" t="str">
        <f aca="false">IF(OR(Q36="",I36="",I36=0),"",Q36/I36)</f>
        <v/>
      </c>
      <c r="T36" s="23" t="str">
        <f aca="false">IF(OR(K36="",J36=""),"",K36-J36)</f>
        <v/>
      </c>
      <c r="U36" s="17"/>
    </row>
    <row r="37" customFormat="false" ht="15" hidden="false" customHeight="true" outlineLevel="0" collapsed="false">
      <c r="A37" s="6" t="n">
        <v>33</v>
      </c>
      <c r="B37" s="7"/>
      <c r="C37" s="8"/>
      <c r="D37" s="8"/>
      <c r="E37" s="8"/>
      <c r="F37" s="8"/>
      <c r="G37" s="9"/>
      <c r="H37" s="9"/>
      <c r="I37" s="10" t="str">
        <f aca="false">IF(G37="","",G37+IF(H37="",0,H37))</f>
        <v/>
      </c>
      <c r="J37" s="7"/>
      <c r="K37" s="7"/>
      <c r="L37" s="8"/>
      <c r="M37" s="9"/>
      <c r="N37" s="11"/>
      <c r="O37" s="10" t="str">
        <f aca="false">IF(OR(M37="",N37=""),"",M37*N37)</f>
        <v/>
      </c>
      <c r="P37" s="10" t="str">
        <f aca="false">IF(M37="","",M37-IF(O37="",0,O37))</f>
        <v/>
      </c>
      <c r="Q37" s="12" t="str">
        <f aca="false">IF(OR(P37="",I37=""),"",P37-I37)</f>
        <v/>
      </c>
      <c r="R37" s="13" t="str">
        <f aca="false">IF(OR(Q37="",M37="",M37=0),"",Q37/M37)</f>
        <v/>
      </c>
      <c r="S37" s="13" t="str">
        <f aca="false">IF(OR(Q37="",I37="",I37=0),"",Q37/I37)</f>
        <v/>
      </c>
      <c r="T37" s="14" t="str">
        <f aca="false">IF(OR(K37="",J37=""),"",K37-J37)</f>
        <v/>
      </c>
      <c r="U37" s="8"/>
    </row>
    <row r="38" customFormat="false" ht="15" hidden="false" customHeight="true" outlineLevel="0" collapsed="false">
      <c r="A38" s="15" t="n">
        <v>34</v>
      </c>
      <c r="B38" s="16"/>
      <c r="C38" s="17"/>
      <c r="D38" s="17"/>
      <c r="E38" s="17"/>
      <c r="F38" s="17"/>
      <c r="G38" s="18"/>
      <c r="H38" s="18"/>
      <c r="I38" s="19" t="str">
        <f aca="false">IF(G38="","",G38+IF(H38="",0,H38))</f>
        <v/>
      </c>
      <c r="J38" s="16"/>
      <c r="K38" s="16"/>
      <c r="L38" s="17"/>
      <c r="M38" s="18"/>
      <c r="N38" s="20"/>
      <c r="O38" s="19" t="str">
        <f aca="false">IF(OR(M38="",N38=""),"",M38*N38)</f>
        <v/>
      </c>
      <c r="P38" s="19" t="str">
        <f aca="false">IF(M38="","",M38-IF(O38="",0,O38))</f>
        <v/>
      </c>
      <c r="Q38" s="21" t="str">
        <f aca="false">IF(OR(P38="",I38=""),"",P38-I38)</f>
        <v/>
      </c>
      <c r="R38" s="22" t="str">
        <f aca="false">IF(OR(Q38="",M38="",M38=0),"",Q38/M38)</f>
        <v/>
      </c>
      <c r="S38" s="22" t="str">
        <f aca="false">IF(OR(Q38="",I38="",I38=0),"",Q38/I38)</f>
        <v/>
      </c>
      <c r="T38" s="23" t="str">
        <f aca="false">IF(OR(K38="",J38=""),"",K38-J38)</f>
        <v/>
      </c>
      <c r="U38" s="17"/>
    </row>
    <row r="39" customFormat="false" ht="15" hidden="false" customHeight="true" outlineLevel="0" collapsed="false">
      <c r="A39" s="6" t="n">
        <v>35</v>
      </c>
      <c r="B39" s="7"/>
      <c r="C39" s="8"/>
      <c r="D39" s="8"/>
      <c r="E39" s="8"/>
      <c r="F39" s="8"/>
      <c r="G39" s="9"/>
      <c r="H39" s="9"/>
      <c r="I39" s="10" t="str">
        <f aca="false">IF(G39="","",G39+IF(H39="",0,H39))</f>
        <v/>
      </c>
      <c r="J39" s="7"/>
      <c r="K39" s="7"/>
      <c r="L39" s="8"/>
      <c r="M39" s="9"/>
      <c r="N39" s="11"/>
      <c r="O39" s="10" t="str">
        <f aca="false">IF(OR(M39="",N39=""),"",M39*N39)</f>
        <v/>
      </c>
      <c r="P39" s="10" t="str">
        <f aca="false">IF(M39="","",M39-IF(O39="",0,O39))</f>
        <v/>
      </c>
      <c r="Q39" s="12" t="str">
        <f aca="false">IF(OR(P39="",I39=""),"",P39-I39)</f>
        <v/>
      </c>
      <c r="R39" s="13" t="str">
        <f aca="false">IF(OR(Q39="",M39="",M39=0),"",Q39/M39)</f>
        <v/>
      </c>
      <c r="S39" s="13" t="str">
        <f aca="false">IF(OR(Q39="",I39="",I39=0),"",Q39/I39)</f>
        <v/>
      </c>
      <c r="T39" s="14" t="str">
        <f aca="false">IF(OR(K39="",J39=""),"",K39-J39)</f>
        <v/>
      </c>
      <c r="U39" s="8"/>
    </row>
    <row r="40" customFormat="false" ht="15" hidden="false" customHeight="true" outlineLevel="0" collapsed="false">
      <c r="A40" s="15" t="n">
        <v>36</v>
      </c>
      <c r="B40" s="16"/>
      <c r="C40" s="17"/>
      <c r="D40" s="17"/>
      <c r="E40" s="17"/>
      <c r="F40" s="17"/>
      <c r="G40" s="18"/>
      <c r="H40" s="18"/>
      <c r="I40" s="19" t="str">
        <f aca="false">IF(G40="","",G40+IF(H40="",0,H40))</f>
        <v/>
      </c>
      <c r="J40" s="16"/>
      <c r="K40" s="16"/>
      <c r="L40" s="17"/>
      <c r="M40" s="18"/>
      <c r="N40" s="20"/>
      <c r="O40" s="19" t="str">
        <f aca="false">IF(OR(M40="",N40=""),"",M40*N40)</f>
        <v/>
      </c>
      <c r="P40" s="19" t="str">
        <f aca="false">IF(M40="","",M40-IF(O40="",0,O40))</f>
        <v/>
      </c>
      <c r="Q40" s="21" t="str">
        <f aca="false">IF(OR(P40="",I40=""),"",P40-I40)</f>
        <v/>
      </c>
      <c r="R40" s="22" t="str">
        <f aca="false">IF(OR(Q40="",M40="",M40=0),"",Q40/M40)</f>
        <v/>
      </c>
      <c r="S40" s="22" t="str">
        <f aca="false">IF(OR(Q40="",I40="",I40=0),"",Q40/I40)</f>
        <v/>
      </c>
      <c r="T40" s="23" t="str">
        <f aca="false">IF(OR(K40="",J40=""),"",K40-J40)</f>
        <v/>
      </c>
      <c r="U40" s="17"/>
    </row>
    <row r="41" customFormat="false" ht="15" hidden="false" customHeight="true" outlineLevel="0" collapsed="false">
      <c r="A41" s="6" t="n">
        <v>37</v>
      </c>
      <c r="B41" s="7"/>
      <c r="C41" s="8"/>
      <c r="D41" s="8"/>
      <c r="E41" s="8"/>
      <c r="F41" s="8"/>
      <c r="G41" s="9"/>
      <c r="H41" s="9"/>
      <c r="I41" s="10" t="str">
        <f aca="false">IF(G41="","",G41+IF(H41="",0,H41))</f>
        <v/>
      </c>
      <c r="J41" s="7"/>
      <c r="K41" s="7"/>
      <c r="L41" s="8"/>
      <c r="M41" s="9"/>
      <c r="N41" s="11"/>
      <c r="O41" s="10" t="str">
        <f aca="false">IF(OR(M41="",N41=""),"",M41*N41)</f>
        <v/>
      </c>
      <c r="P41" s="10" t="str">
        <f aca="false">IF(M41="","",M41-IF(O41="",0,O41))</f>
        <v/>
      </c>
      <c r="Q41" s="12" t="str">
        <f aca="false">IF(OR(P41="",I41=""),"",P41-I41)</f>
        <v/>
      </c>
      <c r="R41" s="13" t="str">
        <f aca="false">IF(OR(Q41="",M41="",M41=0),"",Q41/M41)</f>
        <v/>
      </c>
      <c r="S41" s="13" t="str">
        <f aca="false">IF(OR(Q41="",I41="",I41=0),"",Q41/I41)</f>
        <v/>
      </c>
      <c r="T41" s="14" t="str">
        <f aca="false">IF(OR(K41="",J41=""),"",K41-J41)</f>
        <v/>
      </c>
      <c r="U41" s="8"/>
    </row>
    <row r="42" customFormat="false" ht="15" hidden="false" customHeight="true" outlineLevel="0" collapsed="false">
      <c r="A42" s="15" t="n">
        <v>38</v>
      </c>
      <c r="B42" s="16"/>
      <c r="C42" s="17"/>
      <c r="D42" s="17"/>
      <c r="E42" s="17"/>
      <c r="F42" s="17"/>
      <c r="G42" s="18"/>
      <c r="H42" s="18"/>
      <c r="I42" s="19" t="str">
        <f aca="false">IF(G42="","",G42+IF(H42="",0,H42))</f>
        <v/>
      </c>
      <c r="J42" s="16"/>
      <c r="K42" s="16"/>
      <c r="L42" s="17"/>
      <c r="M42" s="18"/>
      <c r="N42" s="20"/>
      <c r="O42" s="19" t="str">
        <f aca="false">IF(OR(M42="",N42=""),"",M42*N42)</f>
        <v/>
      </c>
      <c r="P42" s="19" t="str">
        <f aca="false">IF(M42="","",M42-IF(O42="",0,O42))</f>
        <v/>
      </c>
      <c r="Q42" s="21" t="str">
        <f aca="false">IF(OR(P42="",I42=""),"",P42-I42)</f>
        <v/>
      </c>
      <c r="R42" s="22" t="str">
        <f aca="false">IF(OR(Q42="",M42="",M42=0),"",Q42/M42)</f>
        <v/>
      </c>
      <c r="S42" s="22" t="str">
        <f aca="false">IF(OR(Q42="",I42="",I42=0),"",Q42/I42)</f>
        <v/>
      </c>
      <c r="T42" s="23" t="str">
        <f aca="false">IF(OR(K42="",J42=""),"",K42-J42)</f>
        <v/>
      </c>
      <c r="U42" s="17"/>
    </row>
    <row r="43" customFormat="false" ht="15" hidden="false" customHeight="true" outlineLevel="0" collapsed="false">
      <c r="A43" s="6" t="n">
        <v>39</v>
      </c>
      <c r="B43" s="7"/>
      <c r="C43" s="8"/>
      <c r="D43" s="8"/>
      <c r="E43" s="8"/>
      <c r="F43" s="8"/>
      <c r="G43" s="9"/>
      <c r="H43" s="9"/>
      <c r="I43" s="10" t="str">
        <f aca="false">IF(G43="","",G43+IF(H43="",0,H43))</f>
        <v/>
      </c>
      <c r="J43" s="7"/>
      <c r="K43" s="7"/>
      <c r="L43" s="8"/>
      <c r="M43" s="9"/>
      <c r="N43" s="11"/>
      <c r="O43" s="10" t="str">
        <f aca="false">IF(OR(M43="",N43=""),"",M43*N43)</f>
        <v/>
      </c>
      <c r="P43" s="10" t="str">
        <f aca="false">IF(M43="","",M43-IF(O43="",0,O43))</f>
        <v/>
      </c>
      <c r="Q43" s="12" t="str">
        <f aca="false">IF(OR(P43="",I43=""),"",P43-I43)</f>
        <v/>
      </c>
      <c r="R43" s="13" t="str">
        <f aca="false">IF(OR(Q43="",M43="",M43=0),"",Q43/M43)</f>
        <v/>
      </c>
      <c r="S43" s="13" t="str">
        <f aca="false">IF(OR(Q43="",I43="",I43=0),"",Q43/I43)</f>
        <v/>
      </c>
      <c r="T43" s="14" t="str">
        <f aca="false">IF(OR(K43="",J43=""),"",K43-J43)</f>
        <v/>
      </c>
      <c r="U43" s="8"/>
    </row>
    <row r="44" customFormat="false" ht="15" hidden="false" customHeight="true" outlineLevel="0" collapsed="false">
      <c r="A44" s="15" t="n">
        <v>40</v>
      </c>
      <c r="B44" s="16"/>
      <c r="C44" s="17"/>
      <c r="D44" s="17"/>
      <c r="E44" s="17"/>
      <c r="F44" s="17"/>
      <c r="G44" s="18"/>
      <c r="H44" s="18"/>
      <c r="I44" s="19" t="str">
        <f aca="false">IF(G44="","",G44+IF(H44="",0,H44))</f>
        <v/>
      </c>
      <c r="J44" s="16"/>
      <c r="K44" s="16"/>
      <c r="L44" s="17"/>
      <c r="M44" s="18"/>
      <c r="N44" s="20"/>
      <c r="O44" s="19" t="str">
        <f aca="false">IF(OR(M44="",N44=""),"",M44*N44)</f>
        <v/>
      </c>
      <c r="P44" s="19" t="str">
        <f aca="false">IF(M44="","",M44-IF(O44="",0,O44))</f>
        <v/>
      </c>
      <c r="Q44" s="21" t="str">
        <f aca="false">IF(OR(P44="",I44=""),"",P44-I44)</f>
        <v/>
      </c>
      <c r="R44" s="22" t="str">
        <f aca="false">IF(OR(Q44="",M44="",M44=0),"",Q44/M44)</f>
        <v/>
      </c>
      <c r="S44" s="22" t="str">
        <f aca="false">IF(OR(Q44="",I44="",I44=0),"",Q44/I44)</f>
        <v/>
      </c>
      <c r="T44" s="23" t="str">
        <f aca="false">IF(OR(K44="",J44=""),"",K44-J44)</f>
        <v/>
      </c>
      <c r="U44" s="17"/>
    </row>
    <row r="45" customFormat="false" ht="15" hidden="false" customHeight="true" outlineLevel="0" collapsed="false">
      <c r="A45" s="6" t="n">
        <v>41</v>
      </c>
      <c r="B45" s="7"/>
      <c r="C45" s="8"/>
      <c r="D45" s="8"/>
      <c r="E45" s="8"/>
      <c r="F45" s="8"/>
      <c r="G45" s="9"/>
      <c r="H45" s="9"/>
      <c r="I45" s="10" t="str">
        <f aca="false">IF(G45="","",G45+IF(H45="",0,H45))</f>
        <v/>
      </c>
      <c r="J45" s="7"/>
      <c r="K45" s="7"/>
      <c r="L45" s="8"/>
      <c r="M45" s="9"/>
      <c r="N45" s="11"/>
      <c r="O45" s="10" t="str">
        <f aca="false">IF(OR(M45="",N45=""),"",M45*N45)</f>
        <v/>
      </c>
      <c r="P45" s="10" t="str">
        <f aca="false">IF(M45="","",M45-IF(O45="",0,O45))</f>
        <v/>
      </c>
      <c r="Q45" s="12" t="str">
        <f aca="false">IF(OR(P45="",I45=""),"",P45-I45)</f>
        <v/>
      </c>
      <c r="R45" s="13" t="str">
        <f aca="false">IF(OR(Q45="",M45="",M45=0),"",Q45/M45)</f>
        <v/>
      </c>
      <c r="S45" s="13" t="str">
        <f aca="false">IF(OR(Q45="",I45="",I45=0),"",Q45/I45)</f>
        <v/>
      </c>
      <c r="T45" s="14" t="str">
        <f aca="false">IF(OR(K45="",J45=""),"",K45-J45)</f>
        <v/>
      </c>
      <c r="U45" s="8"/>
    </row>
    <row r="46" customFormat="false" ht="15" hidden="false" customHeight="true" outlineLevel="0" collapsed="false">
      <c r="A46" s="15" t="n">
        <v>42</v>
      </c>
      <c r="B46" s="16"/>
      <c r="C46" s="17"/>
      <c r="D46" s="17"/>
      <c r="E46" s="17"/>
      <c r="F46" s="17"/>
      <c r="G46" s="18"/>
      <c r="H46" s="18"/>
      <c r="I46" s="19" t="str">
        <f aca="false">IF(G46="","",G46+IF(H46="",0,H46))</f>
        <v/>
      </c>
      <c r="J46" s="16"/>
      <c r="K46" s="16"/>
      <c r="L46" s="17"/>
      <c r="M46" s="18"/>
      <c r="N46" s="20"/>
      <c r="O46" s="19" t="str">
        <f aca="false">IF(OR(M46="",N46=""),"",M46*N46)</f>
        <v/>
      </c>
      <c r="P46" s="19" t="str">
        <f aca="false">IF(M46="","",M46-IF(O46="",0,O46))</f>
        <v/>
      </c>
      <c r="Q46" s="21" t="str">
        <f aca="false">IF(OR(P46="",I46=""),"",P46-I46)</f>
        <v/>
      </c>
      <c r="R46" s="22" t="str">
        <f aca="false">IF(OR(Q46="",M46="",M46=0),"",Q46/M46)</f>
        <v/>
      </c>
      <c r="S46" s="22" t="str">
        <f aca="false">IF(OR(Q46="",I46="",I46=0),"",Q46/I46)</f>
        <v/>
      </c>
      <c r="T46" s="23" t="str">
        <f aca="false">IF(OR(K46="",J46=""),"",K46-J46)</f>
        <v/>
      </c>
      <c r="U46" s="17"/>
    </row>
    <row r="47" customFormat="false" ht="15" hidden="false" customHeight="true" outlineLevel="0" collapsed="false">
      <c r="A47" s="6" t="n">
        <v>43</v>
      </c>
      <c r="B47" s="7"/>
      <c r="C47" s="8"/>
      <c r="D47" s="8"/>
      <c r="E47" s="8"/>
      <c r="F47" s="8"/>
      <c r="G47" s="9"/>
      <c r="H47" s="9"/>
      <c r="I47" s="10" t="str">
        <f aca="false">IF(G47="","",G47+IF(H47="",0,H47))</f>
        <v/>
      </c>
      <c r="J47" s="7"/>
      <c r="K47" s="7"/>
      <c r="L47" s="8"/>
      <c r="M47" s="9"/>
      <c r="N47" s="11"/>
      <c r="O47" s="10" t="str">
        <f aca="false">IF(OR(M47="",N47=""),"",M47*N47)</f>
        <v/>
      </c>
      <c r="P47" s="10" t="str">
        <f aca="false">IF(M47="","",M47-IF(O47="",0,O47))</f>
        <v/>
      </c>
      <c r="Q47" s="12" t="str">
        <f aca="false">IF(OR(P47="",I47=""),"",P47-I47)</f>
        <v/>
      </c>
      <c r="R47" s="13" t="str">
        <f aca="false">IF(OR(Q47="",M47="",M47=0),"",Q47/M47)</f>
        <v/>
      </c>
      <c r="S47" s="13" t="str">
        <f aca="false">IF(OR(Q47="",I47="",I47=0),"",Q47/I47)</f>
        <v/>
      </c>
      <c r="T47" s="14" t="str">
        <f aca="false">IF(OR(K47="",J47=""),"",K47-J47)</f>
        <v/>
      </c>
      <c r="U47" s="8"/>
    </row>
    <row r="48" customFormat="false" ht="15" hidden="false" customHeight="true" outlineLevel="0" collapsed="false">
      <c r="A48" s="15" t="n">
        <v>44</v>
      </c>
      <c r="B48" s="16"/>
      <c r="C48" s="17"/>
      <c r="D48" s="17"/>
      <c r="E48" s="17"/>
      <c r="F48" s="17"/>
      <c r="G48" s="18"/>
      <c r="H48" s="18"/>
      <c r="I48" s="19" t="str">
        <f aca="false">IF(G48="","",G48+IF(H48="",0,H48))</f>
        <v/>
      </c>
      <c r="J48" s="16"/>
      <c r="K48" s="16"/>
      <c r="L48" s="17"/>
      <c r="M48" s="18"/>
      <c r="N48" s="20"/>
      <c r="O48" s="19" t="str">
        <f aca="false">IF(OR(M48="",N48=""),"",M48*N48)</f>
        <v/>
      </c>
      <c r="P48" s="19" t="str">
        <f aca="false">IF(M48="","",M48-IF(O48="",0,O48))</f>
        <v/>
      </c>
      <c r="Q48" s="21" t="str">
        <f aca="false">IF(OR(P48="",I48=""),"",P48-I48)</f>
        <v/>
      </c>
      <c r="R48" s="22" t="str">
        <f aca="false">IF(OR(Q48="",M48="",M48=0),"",Q48/M48)</f>
        <v/>
      </c>
      <c r="S48" s="22" t="str">
        <f aca="false">IF(OR(Q48="",I48="",I48=0),"",Q48/I48)</f>
        <v/>
      </c>
      <c r="T48" s="23" t="str">
        <f aca="false">IF(OR(K48="",J48=""),"",K48-J48)</f>
        <v/>
      </c>
      <c r="U48" s="17"/>
    </row>
    <row r="49" customFormat="false" ht="15" hidden="false" customHeight="true" outlineLevel="0" collapsed="false">
      <c r="A49" s="6" t="n">
        <v>45</v>
      </c>
      <c r="B49" s="7"/>
      <c r="C49" s="8"/>
      <c r="D49" s="8"/>
      <c r="E49" s="8"/>
      <c r="F49" s="8"/>
      <c r="G49" s="9"/>
      <c r="H49" s="9"/>
      <c r="I49" s="10" t="str">
        <f aca="false">IF(G49="","",G49+IF(H49="",0,H49))</f>
        <v/>
      </c>
      <c r="J49" s="7"/>
      <c r="K49" s="7"/>
      <c r="L49" s="8"/>
      <c r="M49" s="9"/>
      <c r="N49" s="11"/>
      <c r="O49" s="10" t="str">
        <f aca="false">IF(OR(M49="",N49=""),"",M49*N49)</f>
        <v/>
      </c>
      <c r="P49" s="10" t="str">
        <f aca="false">IF(M49="","",M49-IF(O49="",0,O49))</f>
        <v/>
      </c>
      <c r="Q49" s="12" t="str">
        <f aca="false">IF(OR(P49="",I49=""),"",P49-I49)</f>
        <v/>
      </c>
      <c r="R49" s="13" t="str">
        <f aca="false">IF(OR(Q49="",M49="",M49=0),"",Q49/M49)</f>
        <v/>
      </c>
      <c r="S49" s="13" t="str">
        <f aca="false">IF(OR(Q49="",I49="",I49=0),"",Q49/I49)</f>
        <v/>
      </c>
      <c r="T49" s="14" t="str">
        <f aca="false">IF(OR(K49="",J49=""),"",K49-J49)</f>
        <v/>
      </c>
      <c r="U49" s="8"/>
    </row>
    <row r="50" customFormat="false" ht="15" hidden="false" customHeight="true" outlineLevel="0" collapsed="false">
      <c r="A50" s="15" t="n">
        <v>46</v>
      </c>
      <c r="B50" s="16"/>
      <c r="C50" s="17"/>
      <c r="D50" s="17"/>
      <c r="E50" s="17"/>
      <c r="F50" s="17"/>
      <c r="G50" s="18"/>
      <c r="H50" s="18"/>
      <c r="I50" s="19" t="str">
        <f aca="false">IF(G50="","",G50+IF(H50="",0,H50))</f>
        <v/>
      </c>
      <c r="J50" s="16"/>
      <c r="K50" s="16"/>
      <c r="L50" s="17"/>
      <c r="M50" s="18"/>
      <c r="N50" s="20"/>
      <c r="O50" s="19" t="str">
        <f aca="false">IF(OR(M50="",N50=""),"",M50*N50)</f>
        <v/>
      </c>
      <c r="P50" s="19" t="str">
        <f aca="false">IF(M50="","",M50-IF(O50="",0,O50))</f>
        <v/>
      </c>
      <c r="Q50" s="21" t="str">
        <f aca="false">IF(OR(P50="",I50=""),"",P50-I50)</f>
        <v/>
      </c>
      <c r="R50" s="22" t="str">
        <f aca="false">IF(OR(Q50="",M50="",M50=0),"",Q50/M50)</f>
        <v/>
      </c>
      <c r="S50" s="22" t="str">
        <f aca="false">IF(OR(Q50="",I50="",I50=0),"",Q50/I50)</f>
        <v/>
      </c>
      <c r="T50" s="23" t="str">
        <f aca="false">IF(OR(K50="",J50=""),"",K50-J50)</f>
        <v/>
      </c>
      <c r="U50" s="17"/>
    </row>
    <row r="51" customFormat="false" ht="15" hidden="false" customHeight="true" outlineLevel="0" collapsed="false">
      <c r="A51" s="6" t="n">
        <v>47</v>
      </c>
      <c r="B51" s="7"/>
      <c r="C51" s="8"/>
      <c r="D51" s="8"/>
      <c r="E51" s="8"/>
      <c r="F51" s="8"/>
      <c r="G51" s="9"/>
      <c r="H51" s="9"/>
      <c r="I51" s="10" t="str">
        <f aca="false">IF(G51="","",G51+IF(H51="",0,H51))</f>
        <v/>
      </c>
      <c r="J51" s="7"/>
      <c r="K51" s="7"/>
      <c r="L51" s="8"/>
      <c r="M51" s="9"/>
      <c r="N51" s="11"/>
      <c r="O51" s="10" t="str">
        <f aca="false">IF(OR(M51="",N51=""),"",M51*N51)</f>
        <v/>
      </c>
      <c r="P51" s="10" t="str">
        <f aca="false">IF(M51="","",M51-IF(O51="",0,O51))</f>
        <v/>
      </c>
      <c r="Q51" s="12" t="str">
        <f aca="false">IF(OR(P51="",I51=""),"",P51-I51)</f>
        <v/>
      </c>
      <c r="R51" s="13" t="str">
        <f aca="false">IF(OR(Q51="",M51="",M51=0),"",Q51/M51)</f>
        <v/>
      </c>
      <c r="S51" s="13" t="str">
        <f aca="false">IF(OR(Q51="",I51="",I51=0),"",Q51/I51)</f>
        <v/>
      </c>
      <c r="T51" s="14" t="str">
        <f aca="false">IF(OR(K51="",J51=""),"",K51-J51)</f>
        <v/>
      </c>
      <c r="U51" s="8"/>
    </row>
    <row r="52" customFormat="false" ht="15" hidden="false" customHeight="true" outlineLevel="0" collapsed="false">
      <c r="A52" s="15" t="n">
        <v>48</v>
      </c>
      <c r="B52" s="16"/>
      <c r="C52" s="17"/>
      <c r="D52" s="17"/>
      <c r="E52" s="17"/>
      <c r="F52" s="17"/>
      <c r="G52" s="18"/>
      <c r="H52" s="18"/>
      <c r="I52" s="19" t="str">
        <f aca="false">IF(G52="","",G52+IF(H52="",0,H52))</f>
        <v/>
      </c>
      <c r="J52" s="16"/>
      <c r="K52" s="16"/>
      <c r="L52" s="17"/>
      <c r="M52" s="18"/>
      <c r="N52" s="20"/>
      <c r="O52" s="19" t="str">
        <f aca="false">IF(OR(M52="",N52=""),"",M52*N52)</f>
        <v/>
      </c>
      <c r="P52" s="19" t="str">
        <f aca="false">IF(M52="","",M52-IF(O52="",0,O52))</f>
        <v/>
      </c>
      <c r="Q52" s="21" t="str">
        <f aca="false">IF(OR(P52="",I52=""),"",P52-I52)</f>
        <v/>
      </c>
      <c r="R52" s="22" t="str">
        <f aca="false">IF(OR(Q52="",M52="",M52=0),"",Q52/M52)</f>
        <v/>
      </c>
      <c r="S52" s="22" t="str">
        <f aca="false">IF(OR(Q52="",I52="",I52=0),"",Q52/I52)</f>
        <v/>
      </c>
      <c r="T52" s="23" t="str">
        <f aca="false">IF(OR(K52="",J52=""),"",K52-J52)</f>
        <v/>
      </c>
      <c r="U52" s="17"/>
    </row>
    <row r="53" customFormat="false" ht="15" hidden="false" customHeight="true" outlineLevel="0" collapsed="false">
      <c r="A53" s="6" t="n">
        <v>49</v>
      </c>
      <c r="B53" s="7"/>
      <c r="C53" s="8"/>
      <c r="D53" s="8"/>
      <c r="E53" s="8"/>
      <c r="F53" s="8"/>
      <c r="G53" s="9"/>
      <c r="H53" s="9"/>
      <c r="I53" s="10" t="str">
        <f aca="false">IF(G53="","",G53+IF(H53="",0,H53))</f>
        <v/>
      </c>
      <c r="J53" s="7"/>
      <c r="K53" s="7"/>
      <c r="L53" s="8"/>
      <c r="M53" s="9"/>
      <c r="N53" s="11"/>
      <c r="O53" s="10" t="str">
        <f aca="false">IF(OR(M53="",N53=""),"",M53*N53)</f>
        <v/>
      </c>
      <c r="P53" s="10" t="str">
        <f aca="false">IF(M53="","",M53-IF(O53="",0,O53))</f>
        <v/>
      </c>
      <c r="Q53" s="12" t="str">
        <f aca="false">IF(OR(P53="",I53=""),"",P53-I53)</f>
        <v/>
      </c>
      <c r="R53" s="13" t="str">
        <f aca="false">IF(OR(Q53="",M53="",M53=0),"",Q53/M53)</f>
        <v/>
      </c>
      <c r="S53" s="13" t="str">
        <f aca="false">IF(OR(Q53="",I53="",I53=0),"",Q53/I53)</f>
        <v/>
      </c>
      <c r="T53" s="14" t="str">
        <f aca="false">IF(OR(K53="",J53=""),"",K53-J53)</f>
        <v/>
      </c>
      <c r="U53" s="8"/>
    </row>
    <row r="54" customFormat="false" ht="15" hidden="false" customHeight="true" outlineLevel="0" collapsed="false">
      <c r="A54" s="15" t="n">
        <v>50</v>
      </c>
      <c r="B54" s="16"/>
      <c r="C54" s="17"/>
      <c r="D54" s="17"/>
      <c r="E54" s="17"/>
      <c r="F54" s="17"/>
      <c r="G54" s="18"/>
      <c r="H54" s="18"/>
      <c r="I54" s="19" t="str">
        <f aca="false">IF(G54="","",G54+IF(H54="",0,H54))</f>
        <v/>
      </c>
      <c r="J54" s="16"/>
      <c r="K54" s="16"/>
      <c r="L54" s="17"/>
      <c r="M54" s="18"/>
      <c r="N54" s="20"/>
      <c r="O54" s="19" t="str">
        <f aca="false">IF(OR(M54="",N54=""),"",M54*N54)</f>
        <v/>
      </c>
      <c r="P54" s="19" t="str">
        <f aca="false">IF(M54="","",M54-IF(O54="",0,O54))</f>
        <v/>
      </c>
      <c r="Q54" s="21" t="str">
        <f aca="false">IF(OR(P54="",I54=""),"",P54-I54)</f>
        <v/>
      </c>
      <c r="R54" s="22" t="str">
        <f aca="false">IF(OR(Q54="",M54="",M54=0),"",Q54/M54)</f>
        <v/>
      </c>
      <c r="S54" s="22" t="str">
        <f aca="false">IF(OR(Q54="",I54="",I54=0),"",Q54/I54)</f>
        <v/>
      </c>
      <c r="T54" s="23" t="str">
        <f aca="false">IF(OR(K54="",J54=""),"",K54-J54)</f>
        <v/>
      </c>
      <c r="U54" s="17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</sheetData>
  <mergeCells count="2">
    <mergeCell ref="A1:U1"/>
    <mergeCell ref="A2:U2"/>
  </mergeCells>
  <conditionalFormatting sqref="Q5:Q5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S5:S54">
    <cfRule type="cellIs" priority="4" operator="greaterThanOrEqual" aboveAverage="0" equalAverage="0" bottom="0" percent="0" rank="0" text="" dxfId="2">
      <formula>1</formula>
    </cfRule>
    <cfRule type="cellIs" priority="5" operator="greaterThanOrEqual" aboveAverage="0" equalAverage="0" bottom="0" percent="0" rank="0" text="" dxfId="3">
      <formula>2</formula>
    </cfRule>
  </conditionalFormatting>
  <dataValidations count="4">
    <dataValidation allowBlank="true" errorStyle="stop" operator="between" showDropDown="false" showErrorMessage="false" showInputMessage="false" sqref="F5:F54" type="list">
      <formula1>"MCM Furniture,Danish Modern,Designer Clothing,Vintage Denim,Lighting,Decor,Accessories,Other"</formula1>
      <formula2>0</formula2>
    </dataValidation>
    <dataValidation allowBlank="true" errorStyle="stop" operator="between" showDropDown="false" showErrorMessage="false" showInputMessage="false" sqref="C5:C54" type="list">
      <formula1>"Craigslist,FB Marketplace,Swoopa Alert,OfferUp,Estate Sale,Thrift Store,Free/Curb,Other"</formula1>
      <formula2>0</formula2>
    </dataValidation>
    <dataValidation allowBlank="true" errorStyle="stop" operator="between" showDropDown="false" showErrorMessage="false" showInputMessage="false" sqref="L5:L54" type="list">
      <formula1>"FB Marketplace,Craigslist,1stDibs,Chairish,eBay,Poshmark,Depop,Instagram,Direct Sale"</formula1>
      <formula2>0</formula2>
    </dataValidation>
    <dataValidation allowBlank="true" errorStyle="stop" operator="between" showDropDown="false" showErrorMessage="false" showInputMessage="false" sqref="U5:U54" type="list">
      <formula1>"Acquired,Repairing,Listed,Sold,Returned"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1" width="14"/>
  </cols>
  <sheetData>
    <row r="1" customFormat="false" ht="36" hidden="false" customHeight="true" outlineLevel="0" collapsed="false">
      <c r="A1" s="24" t="s">
        <v>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customFormat="false" ht="15" hidden="false" customHeight="true" outlineLevel="0" collapsed="false">
      <c r="A3" s="25" t="s">
        <v>39</v>
      </c>
      <c r="B3" s="25"/>
      <c r="C3" s="4"/>
      <c r="D3" s="25" t="s">
        <v>40</v>
      </c>
      <c r="E3" s="25"/>
      <c r="F3" s="4"/>
      <c r="G3" s="25" t="s">
        <v>41</v>
      </c>
      <c r="H3" s="25"/>
      <c r="I3" s="4"/>
      <c r="J3" s="25" t="s">
        <v>10</v>
      </c>
      <c r="K3" s="25"/>
      <c r="L3" s="4"/>
      <c r="M3" s="25" t="s">
        <v>42</v>
      </c>
      <c r="N3" s="25"/>
      <c r="O3" s="4"/>
    </row>
    <row r="4" customFormat="false" ht="21.75" hidden="false" customHeight="true" outlineLevel="0" collapsed="false">
      <c r="A4" s="26" t="n">
        <f aca="false">COUNTA('Flip Tracker'!U5:U54)-COUNTBLANK('Flip Tracker'!U5:U54)</f>
        <v>-44</v>
      </c>
      <c r="B4" s="26"/>
      <c r="C4" s="4"/>
      <c r="D4" s="26" t="n">
        <f aca="false">COUNTIF('Flip Tracker'!U5:U54,"Sold")</f>
        <v>3</v>
      </c>
      <c r="E4" s="26"/>
      <c r="F4" s="4"/>
      <c r="G4" s="27" t="n">
        <f aca="false">SUMPRODUCT((('Flip Tracker'!U5:U54)="Sold")*1*('Flip Tracker'!M5:M54))</f>
        <v>870</v>
      </c>
      <c r="H4" s="27"/>
      <c r="I4" s="4"/>
      <c r="J4" s="27" t="n">
        <f aca="false">SUMPRODUCT((('Flip Tracker'!U5:U54)="Sold")*1*('Flip Tracker'!G5:G54))</f>
        <v>57</v>
      </c>
      <c r="K4" s="27"/>
      <c r="L4" s="4"/>
      <c r="M4" s="27" t="n">
        <f aca="false">SUMPRODUCT((('Flip Tracker'!U5:U54)="Sold")*1*('Flip Tracker'!M5:M54))-SUMPRODUCT((('Flip Tracker'!U5:U54)="Sold")*1*('Flip Tracker'!G5:G54))</f>
        <v>813</v>
      </c>
      <c r="N4" s="27"/>
      <c r="O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true" outlineLevel="0" collapsed="false">
      <c r="A6" s="28" t="s">
        <v>43</v>
      </c>
      <c r="B6" s="28"/>
      <c r="C6" s="4"/>
      <c r="D6" s="28" t="s">
        <v>44</v>
      </c>
      <c r="E6" s="28"/>
      <c r="F6" s="4"/>
      <c r="G6" s="28" t="s">
        <v>45</v>
      </c>
      <c r="H6" s="28"/>
      <c r="I6" s="4"/>
      <c r="J6" s="28" t="s">
        <v>46</v>
      </c>
      <c r="K6" s="28"/>
      <c r="L6" s="4"/>
      <c r="M6" s="28" t="s">
        <v>47</v>
      </c>
      <c r="N6" s="28"/>
      <c r="O6" s="4"/>
    </row>
    <row r="7" customFormat="false" ht="17.25" hidden="false" customHeight="true" outlineLevel="0" collapsed="false">
      <c r="A7" s="29" t="n">
        <f aca="false">IF(COUNTIF('Flip Tracker'!U5:U54,"Sold")=0,"",(SUMPRODUCT((('Flip Tracker'!U5:U54)="Sold")*1*('Flip Tracker'!M5:M54))-SUMPRODUCT((('Flip Tracker'!U5:U54)="Sold")*1*('Flip Tracker'!G5:G54)))/COUNTIF('Flip Tracker'!U5:U54,"Sold"))</f>
        <v>271</v>
      </c>
      <c r="B7" s="29"/>
      <c r="C7" s="4"/>
      <c r="D7" s="30" t="n">
        <f aca="false">IF(COUNTIF('Flip Tracker'!U5:U54,"Sold")=0,"",1-SUMPRODUCT((('Flip Tracker'!U5:U54)="Sold")*1*('Flip Tracker'!G5:G54))/SUMPRODUCT((('Flip Tracker'!U5:U54)="Sold")*1*('Flip Tracker'!M5:M54)))</f>
        <v>0.93448275862069</v>
      </c>
      <c r="E7" s="30"/>
      <c r="F7" s="4"/>
      <c r="G7" s="30" t="n">
        <f aca="false">IF(COUNTIF('Flip Tracker'!U5:U54,"Sold")=0,"",(SUMPRODUCT((('Flip Tracker'!U5:U54)="Sold")*1*('Flip Tracker'!M5:M54))/SUMPRODUCT((('Flip Tracker'!U5:U54)="Sold")*1*('Flip Tracker'!G5:G54)))-1)</f>
        <v>14.2631578947368</v>
      </c>
      <c r="H7" s="30"/>
      <c r="I7" s="4"/>
      <c r="J7" s="31" t="n">
        <f aca="false">IF(COUNTIF('Flip Tracker'!U5:U54,"Sold")=0,"",SUMPRODUCT((('Flip Tracker'!U5:U54)="Sold")*('Flip Tracker'!K5:K54-'Flip Tracker'!J5:J54))/COUNTIF('Flip Tracker'!U5:U54,"Sold"))</f>
        <v>3.66666666666667</v>
      </c>
      <c r="K7" s="31"/>
      <c r="L7" s="4"/>
      <c r="M7" s="32" t="n">
        <f aca="false">COUNTIF('Flip Tracker'!U5:U54,"Acquired")+COUNTIF('Flip Tracker'!U5:U54,"Repairing")+COUNTIF('Flip Tracker'!U5:U54,"Listed")</f>
        <v>0</v>
      </c>
      <c r="N7" s="32"/>
      <c r="O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customFormat="false" ht="15" hidden="false" customHeight="true" outlineLevel="0" collapsed="false">
      <c r="A9" s="33" t="s">
        <v>48</v>
      </c>
      <c r="B9" s="4"/>
      <c r="C9" s="4"/>
      <c r="D9" s="4"/>
      <c r="E9" s="33" t="s">
        <v>49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customFormat="false" ht="15" hidden="false" customHeight="true" outlineLevel="0" collapsed="false">
      <c r="A10" s="34" t="s">
        <v>50</v>
      </c>
      <c r="B10" s="35" t="s">
        <v>51</v>
      </c>
      <c r="C10" s="4"/>
      <c r="D10" s="4"/>
      <c r="E10" s="5" t="s">
        <v>52</v>
      </c>
      <c r="F10" s="5" t="s">
        <v>53</v>
      </c>
      <c r="G10" s="5" t="s">
        <v>54</v>
      </c>
      <c r="H10" s="5" t="s">
        <v>55</v>
      </c>
      <c r="I10" s="5" t="s">
        <v>56</v>
      </c>
      <c r="J10" s="5" t="s">
        <v>57</v>
      </c>
      <c r="K10" s="4"/>
      <c r="L10" s="4"/>
      <c r="M10" s="4"/>
      <c r="N10" s="4"/>
      <c r="O10" s="4"/>
    </row>
    <row r="11" customFormat="false" ht="15" hidden="false" customHeight="true" outlineLevel="0" collapsed="false">
      <c r="A11" s="36" t="s">
        <v>27</v>
      </c>
      <c r="B11" s="37" t="s">
        <v>58</v>
      </c>
      <c r="C11" s="4"/>
      <c r="D11" s="4"/>
      <c r="E11" s="38" t="s">
        <v>59</v>
      </c>
      <c r="F11" s="39"/>
      <c r="G11" s="40"/>
      <c r="H11" s="40"/>
      <c r="I11" s="40"/>
      <c r="J11" s="41" t="str">
        <f aca="false">IF(OR(H11="",I11=""),"",IF(H11&gt;=I11,"✓","✕"))</f>
        <v/>
      </c>
      <c r="K11" s="4"/>
      <c r="L11" s="4"/>
      <c r="M11" s="4"/>
      <c r="N11" s="4"/>
      <c r="O11" s="4"/>
    </row>
    <row r="12" customFormat="false" ht="15" hidden="false" customHeight="true" outlineLevel="0" collapsed="false">
      <c r="A12" s="38" t="s">
        <v>33</v>
      </c>
      <c r="B12" s="42" t="s">
        <v>60</v>
      </c>
      <c r="C12" s="4"/>
      <c r="D12" s="4"/>
      <c r="E12" s="36" t="s">
        <v>61</v>
      </c>
      <c r="F12" s="43"/>
      <c r="G12" s="44"/>
      <c r="H12" s="44"/>
      <c r="I12" s="44"/>
      <c r="J12" s="45" t="str">
        <f aca="false">IF(OR(H12="",I12=""),"",IF(H12&gt;=I12,"✓","✕"))</f>
        <v/>
      </c>
      <c r="K12" s="4"/>
      <c r="L12" s="4"/>
      <c r="M12" s="4"/>
      <c r="N12" s="4"/>
      <c r="O12" s="4"/>
    </row>
    <row r="13" customFormat="false" ht="15" hidden="false" customHeight="true" outlineLevel="0" collapsed="false">
      <c r="A13" s="36" t="s">
        <v>37</v>
      </c>
      <c r="B13" s="37" t="s">
        <v>62</v>
      </c>
      <c r="C13" s="4"/>
      <c r="D13" s="4"/>
      <c r="E13" s="38" t="s">
        <v>63</v>
      </c>
      <c r="F13" s="39"/>
      <c r="G13" s="40"/>
      <c r="H13" s="40"/>
      <c r="I13" s="40"/>
      <c r="J13" s="41" t="str">
        <f aca="false">IF(OR(H13="",I13=""),"",IF(H13&gt;=I13,"✓","✕"))</f>
        <v/>
      </c>
      <c r="K13" s="4"/>
      <c r="L13" s="4"/>
      <c r="M13" s="4"/>
      <c r="N13" s="4"/>
      <c r="O13" s="4"/>
    </row>
    <row r="14" customFormat="false" ht="15" hidden="false" customHeight="true" outlineLevel="0" collapsed="false">
      <c r="A14" s="38" t="s">
        <v>64</v>
      </c>
      <c r="B14" s="42" t="s">
        <v>65</v>
      </c>
      <c r="C14" s="4"/>
      <c r="D14" s="4"/>
      <c r="E14" s="36" t="s">
        <v>66</v>
      </c>
      <c r="F14" s="43"/>
      <c r="G14" s="44"/>
      <c r="H14" s="44"/>
      <c r="I14" s="44"/>
      <c r="J14" s="45" t="str">
        <f aca="false">IF(OR(H14="",I14=""),"",IF(H14&gt;=I14,"✓","✕"))</f>
        <v/>
      </c>
      <c r="K14" s="4"/>
      <c r="L14" s="4"/>
      <c r="M14" s="4"/>
      <c r="N14" s="4"/>
      <c r="O14" s="4"/>
    </row>
    <row r="15" customFormat="false" ht="15" hidden="false" customHeight="true" outlineLevel="0" collapsed="false">
      <c r="A15" s="36" t="s">
        <v>67</v>
      </c>
      <c r="B15" s="37" t="s">
        <v>68</v>
      </c>
      <c r="C15" s="4"/>
      <c r="D15" s="4"/>
      <c r="E15" s="38" t="s">
        <v>69</v>
      </c>
      <c r="F15" s="39"/>
      <c r="G15" s="40"/>
      <c r="H15" s="40"/>
      <c r="I15" s="40"/>
      <c r="J15" s="41" t="str">
        <f aca="false">IF(OR(H15="",I15=""),"",IF(H15&gt;=I15,"✓","✕"))</f>
        <v/>
      </c>
      <c r="K15" s="4"/>
      <c r="L15" s="4"/>
      <c r="M15" s="4"/>
      <c r="N15" s="4"/>
      <c r="O15" s="4"/>
    </row>
    <row r="16" customFormat="false" ht="15" hidden="false" customHeight="true" outlineLevel="0" collapsed="false">
      <c r="A16" s="38" t="s">
        <v>70</v>
      </c>
      <c r="B16" s="42" t="s">
        <v>71</v>
      </c>
      <c r="C16" s="4"/>
      <c r="D16" s="4"/>
      <c r="E16" s="36" t="s">
        <v>72</v>
      </c>
      <c r="F16" s="43"/>
      <c r="G16" s="44"/>
      <c r="H16" s="44"/>
      <c r="I16" s="44"/>
      <c r="J16" s="45" t="str">
        <f aca="false">IF(OR(H16="",I16=""),"",IF(H16&gt;=I16,"✓","✕"))</f>
        <v/>
      </c>
      <c r="K16" s="4"/>
      <c r="L16" s="4"/>
      <c r="M16" s="4"/>
      <c r="N16" s="4"/>
      <c r="O16" s="4"/>
    </row>
    <row r="17" customFormat="false" ht="15" hidden="false" customHeight="true" outlineLevel="0" collapsed="false">
      <c r="A17" s="36" t="s">
        <v>73</v>
      </c>
      <c r="B17" s="37" t="s">
        <v>74</v>
      </c>
      <c r="C17" s="4"/>
      <c r="D17" s="4"/>
      <c r="E17" s="38" t="s">
        <v>75</v>
      </c>
      <c r="F17" s="39"/>
      <c r="G17" s="40"/>
      <c r="H17" s="40"/>
      <c r="I17" s="40"/>
      <c r="J17" s="41" t="str">
        <f aca="false">IF(OR(H17="",I17=""),"",IF(H17&gt;=I17,"✓","✕"))</f>
        <v/>
      </c>
      <c r="K17" s="4"/>
      <c r="L17" s="4"/>
      <c r="M17" s="4"/>
      <c r="N17" s="4"/>
      <c r="O17" s="4"/>
    </row>
    <row r="18" customFormat="false" ht="15" hidden="false" customHeight="true" outlineLevel="0" collapsed="false">
      <c r="A18" s="38" t="s">
        <v>76</v>
      </c>
      <c r="B18" s="42" t="s">
        <v>60</v>
      </c>
      <c r="C18" s="4"/>
      <c r="D18" s="4"/>
      <c r="E18" s="36" t="s">
        <v>77</v>
      </c>
      <c r="F18" s="43"/>
      <c r="G18" s="44"/>
      <c r="H18" s="44"/>
      <c r="I18" s="44"/>
      <c r="J18" s="45" t="str">
        <f aca="false">IF(OR(H18="",I18=""),"",IF(H18&gt;=I18,"✓","✕"))</f>
        <v/>
      </c>
      <c r="K18" s="4"/>
      <c r="L18" s="4"/>
      <c r="M18" s="4"/>
      <c r="N18" s="4"/>
      <c r="O18" s="4"/>
    </row>
    <row r="19" customFormat="false" ht="15" hidden="false" customHeight="true" outlineLevel="0" collapsed="false">
      <c r="A19" s="4"/>
      <c r="B19" s="4"/>
      <c r="C19" s="4"/>
      <c r="D19" s="4"/>
      <c r="E19" s="38" t="s">
        <v>78</v>
      </c>
      <c r="F19" s="39"/>
      <c r="G19" s="40"/>
      <c r="H19" s="40"/>
      <c r="I19" s="40"/>
      <c r="J19" s="41" t="str">
        <f aca="false">IF(OR(H19="",I19=""),"",IF(H19&gt;=I19,"✓","✕"))</f>
        <v/>
      </c>
      <c r="K19" s="4"/>
      <c r="L19" s="4"/>
      <c r="M19" s="4"/>
      <c r="N19" s="4"/>
      <c r="O19" s="4"/>
    </row>
    <row r="20" customFormat="false" ht="15" hidden="false" customHeight="true" outlineLevel="0" collapsed="false">
      <c r="A20" s="4"/>
      <c r="B20" s="4"/>
      <c r="C20" s="4"/>
      <c r="D20" s="4"/>
      <c r="E20" s="36" t="s">
        <v>79</v>
      </c>
      <c r="F20" s="43"/>
      <c r="G20" s="44"/>
      <c r="H20" s="44"/>
      <c r="I20" s="44"/>
      <c r="J20" s="45" t="str">
        <f aca="false">IF(OR(H20="",I20=""),"",IF(H20&gt;=I20,"✓","✕"))</f>
        <v/>
      </c>
      <c r="K20" s="4"/>
      <c r="L20" s="4"/>
      <c r="M20" s="4"/>
      <c r="N20" s="4"/>
      <c r="O20" s="4"/>
    </row>
    <row r="21" customFormat="false" ht="15" hidden="false" customHeight="true" outlineLevel="0" collapsed="false">
      <c r="A21" s="4"/>
      <c r="B21" s="4"/>
      <c r="C21" s="4"/>
      <c r="D21" s="4"/>
      <c r="E21" s="38" t="s">
        <v>80</v>
      </c>
      <c r="F21" s="39"/>
      <c r="G21" s="40"/>
      <c r="H21" s="40"/>
      <c r="I21" s="40"/>
      <c r="J21" s="41" t="str">
        <f aca="false">IF(OR(H21="",I21=""),"",IF(H21&gt;=I21,"✓","✕"))</f>
        <v/>
      </c>
      <c r="K21" s="4"/>
      <c r="L21" s="4"/>
      <c r="M21" s="4"/>
      <c r="N21" s="4"/>
      <c r="O21" s="4"/>
    </row>
    <row r="22" customFormat="false" ht="15" hidden="false" customHeight="true" outlineLevel="0" collapsed="false">
      <c r="A22" s="4"/>
      <c r="B22" s="4"/>
      <c r="C22" s="4"/>
      <c r="D22" s="4"/>
      <c r="E22" s="36" t="s">
        <v>81</v>
      </c>
      <c r="F22" s="43"/>
      <c r="G22" s="44"/>
      <c r="H22" s="44"/>
      <c r="I22" s="44"/>
      <c r="J22" s="45" t="str">
        <f aca="false">IF(OR(H22="",I22=""),"",IF(H22&gt;=I22,"✓","✕"))</f>
        <v/>
      </c>
      <c r="K22" s="4"/>
      <c r="L22" s="4"/>
      <c r="M22" s="4"/>
      <c r="N22" s="4"/>
      <c r="O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mergeCells count="21">
    <mergeCell ref="A1:O1"/>
    <mergeCell ref="A3:B3"/>
    <mergeCell ref="D3:E3"/>
    <mergeCell ref="G3:H3"/>
    <mergeCell ref="J3:K3"/>
    <mergeCell ref="M3:N3"/>
    <mergeCell ref="A4:B4"/>
    <mergeCell ref="D4:E4"/>
    <mergeCell ref="G4:H4"/>
    <mergeCell ref="J4:K4"/>
    <mergeCell ref="M4:N4"/>
    <mergeCell ref="A6:B6"/>
    <mergeCell ref="D6:E6"/>
    <mergeCell ref="G6:H6"/>
    <mergeCell ref="J6:K6"/>
    <mergeCell ref="M6:N6"/>
    <mergeCell ref="A7:B7"/>
    <mergeCell ref="D7:E7"/>
    <mergeCell ref="G7:H7"/>
    <mergeCell ref="J7:K7"/>
    <mergeCell ref="M7:N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4" min="3" style="1" width="13"/>
    <col collapsed="false" customWidth="true" hidden="false" outlineLevel="0" max="6" min="5" style="1" width="11"/>
    <col collapsed="false" customWidth="true" hidden="false" outlineLevel="0" max="9" min="7" style="1" width="13"/>
    <col collapsed="false" customWidth="true" hidden="false" outlineLevel="0" max="10" min="10" style="1" width="10"/>
    <col collapsed="false" customWidth="true" hidden="false" outlineLevel="0" max="11" min="11" style="1" width="24"/>
  </cols>
  <sheetData>
    <row r="1" customFormat="false" ht="36" hidden="false" customHeight="true" outlineLevel="0" collapsed="false">
      <c r="A1" s="24" t="s">
        <v>82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5" hidden="false" customHeight="true" outlineLevel="0" collapsed="false">
      <c r="A2" s="3" t="s">
        <v>83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30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3</v>
      </c>
      <c r="E4" s="5" t="s">
        <v>10</v>
      </c>
      <c r="F4" s="5" t="s">
        <v>22</v>
      </c>
      <c r="G4" s="5" t="s">
        <v>84</v>
      </c>
      <c r="H4" s="5" t="s">
        <v>85</v>
      </c>
      <c r="I4" s="5" t="s">
        <v>86</v>
      </c>
      <c r="J4" s="5" t="s">
        <v>87</v>
      </c>
      <c r="K4" s="5" t="s">
        <v>88</v>
      </c>
    </row>
    <row r="5" customFormat="false" ht="15" hidden="false" customHeight="true" outlineLevel="0" collapsed="false">
      <c r="A5" s="43"/>
      <c r="B5" s="43"/>
      <c r="C5" s="43"/>
      <c r="D5" s="46"/>
      <c r="E5" s="44"/>
      <c r="F5" s="43"/>
      <c r="G5" s="44"/>
      <c r="H5" s="44"/>
      <c r="I5" s="47" t="str">
        <f aca="false">IF(OR(G5="",H5="",E5=""),"",(G5+H5)/2-E5)</f>
        <v/>
      </c>
      <c r="J5" s="48" t="str">
        <f aca="true">IF(D5="","",TODAY()-D5)</f>
        <v/>
      </c>
      <c r="K5" s="43"/>
    </row>
    <row r="6" customFormat="false" ht="15" hidden="false" customHeight="true" outlineLevel="0" collapsed="false">
      <c r="A6" s="39"/>
      <c r="B6" s="39"/>
      <c r="C6" s="39"/>
      <c r="D6" s="49"/>
      <c r="E6" s="40"/>
      <c r="F6" s="39"/>
      <c r="G6" s="40"/>
      <c r="H6" s="40"/>
      <c r="I6" s="50" t="str">
        <f aca="false">IF(OR(G6="",H6="",E6=""),"",(G6+H6)/2-E6)</f>
        <v/>
      </c>
      <c r="J6" s="51" t="str">
        <f aca="true">IF(D6="","",TODAY()-D6)</f>
        <v/>
      </c>
      <c r="K6" s="39"/>
    </row>
    <row r="7" customFormat="false" ht="15" hidden="false" customHeight="true" outlineLevel="0" collapsed="false">
      <c r="A7" s="43"/>
      <c r="B7" s="43"/>
      <c r="C7" s="43"/>
      <c r="D7" s="46"/>
      <c r="E7" s="44"/>
      <c r="F7" s="43"/>
      <c r="G7" s="44"/>
      <c r="H7" s="44"/>
      <c r="I7" s="47" t="str">
        <f aca="false">IF(OR(G7="",H7="",E7=""),"",(G7+H7)/2-E7)</f>
        <v/>
      </c>
      <c r="J7" s="48" t="str">
        <f aca="true">IF(D7="","",TODAY()-D7)</f>
        <v/>
      </c>
      <c r="K7" s="43"/>
    </row>
    <row r="8" customFormat="false" ht="15" hidden="false" customHeight="true" outlineLevel="0" collapsed="false">
      <c r="A8" s="39"/>
      <c r="B8" s="39"/>
      <c r="C8" s="39"/>
      <c r="D8" s="49"/>
      <c r="E8" s="40"/>
      <c r="F8" s="39"/>
      <c r="G8" s="40"/>
      <c r="H8" s="40"/>
      <c r="I8" s="50" t="str">
        <f aca="false">IF(OR(G8="",H8="",E8=""),"",(G8+H8)/2-E8)</f>
        <v/>
      </c>
      <c r="J8" s="51" t="str">
        <f aca="true">IF(D8="","",TODAY()-D8)</f>
        <v/>
      </c>
      <c r="K8" s="39"/>
    </row>
    <row r="9" customFormat="false" ht="15" hidden="false" customHeight="true" outlineLevel="0" collapsed="false">
      <c r="A9" s="43"/>
      <c r="B9" s="43"/>
      <c r="C9" s="43"/>
      <c r="D9" s="46"/>
      <c r="E9" s="44"/>
      <c r="F9" s="43"/>
      <c r="G9" s="44"/>
      <c r="H9" s="44"/>
      <c r="I9" s="47" t="str">
        <f aca="false">IF(OR(G9="",H9="",E9=""),"",(G9+H9)/2-E9)</f>
        <v/>
      </c>
      <c r="J9" s="48" t="str">
        <f aca="true">IF(D9="","",TODAY()-D9)</f>
        <v/>
      </c>
      <c r="K9" s="43"/>
    </row>
    <row r="10" customFormat="false" ht="15" hidden="false" customHeight="true" outlineLevel="0" collapsed="false">
      <c r="A10" s="39"/>
      <c r="B10" s="39"/>
      <c r="C10" s="39"/>
      <c r="D10" s="49"/>
      <c r="E10" s="40"/>
      <c r="F10" s="39"/>
      <c r="G10" s="40"/>
      <c r="H10" s="40"/>
      <c r="I10" s="50" t="str">
        <f aca="false">IF(OR(G10="",H10="",E10=""),"",(G10+H10)/2-E10)</f>
        <v/>
      </c>
      <c r="J10" s="51" t="str">
        <f aca="true">IF(D10="","",TODAY()-D10)</f>
        <v/>
      </c>
      <c r="K10" s="39"/>
    </row>
    <row r="11" customFormat="false" ht="15" hidden="false" customHeight="true" outlineLevel="0" collapsed="false">
      <c r="A11" s="43"/>
      <c r="B11" s="43"/>
      <c r="C11" s="43"/>
      <c r="D11" s="46"/>
      <c r="E11" s="44"/>
      <c r="F11" s="43"/>
      <c r="G11" s="44"/>
      <c r="H11" s="44"/>
      <c r="I11" s="47" t="str">
        <f aca="false">IF(OR(G11="",H11="",E11=""),"",(G11+H11)/2-E11)</f>
        <v/>
      </c>
      <c r="J11" s="48" t="str">
        <f aca="true">IF(D11="","",TODAY()-D11)</f>
        <v/>
      </c>
      <c r="K11" s="43"/>
    </row>
    <row r="12" customFormat="false" ht="15" hidden="false" customHeight="true" outlineLevel="0" collapsed="false">
      <c r="A12" s="39"/>
      <c r="B12" s="39"/>
      <c r="C12" s="39"/>
      <c r="D12" s="49"/>
      <c r="E12" s="40"/>
      <c r="F12" s="39"/>
      <c r="G12" s="40"/>
      <c r="H12" s="40"/>
      <c r="I12" s="50" t="str">
        <f aca="false">IF(OR(G12="",H12="",E12=""),"",(G12+H12)/2-E12)</f>
        <v/>
      </c>
      <c r="J12" s="51" t="str">
        <f aca="true">IF(D12="","",TODAY()-D12)</f>
        <v/>
      </c>
      <c r="K12" s="39"/>
    </row>
    <row r="13" customFormat="false" ht="15" hidden="false" customHeight="true" outlineLevel="0" collapsed="false">
      <c r="A13" s="43"/>
      <c r="B13" s="43"/>
      <c r="C13" s="43"/>
      <c r="D13" s="46"/>
      <c r="E13" s="44"/>
      <c r="F13" s="43"/>
      <c r="G13" s="44"/>
      <c r="H13" s="44"/>
      <c r="I13" s="47" t="str">
        <f aca="false">IF(OR(G13="",H13="",E13=""),"",(G13+H13)/2-E13)</f>
        <v/>
      </c>
      <c r="J13" s="48" t="str">
        <f aca="true">IF(D13="","",TODAY()-D13)</f>
        <v/>
      </c>
      <c r="K13" s="43"/>
    </row>
    <row r="14" customFormat="false" ht="15" hidden="false" customHeight="true" outlineLevel="0" collapsed="false">
      <c r="A14" s="39"/>
      <c r="B14" s="39"/>
      <c r="C14" s="39"/>
      <c r="D14" s="49"/>
      <c r="E14" s="40"/>
      <c r="F14" s="39"/>
      <c r="G14" s="40"/>
      <c r="H14" s="40"/>
      <c r="I14" s="50" t="str">
        <f aca="false">IF(OR(G14="",H14="",E14=""),"",(G14+H14)/2-E14)</f>
        <v/>
      </c>
      <c r="J14" s="51" t="str">
        <f aca="true">IF(D14="","",TODAY()-D14)</f>
        <v/>
      </c>
      <c r="K14" s="39"/>
    </row>
    <row r="15" customFormat="false" ht="15" hidden="false" customHeight="true" outlineLevel="0" collapsed="false">
      <c r="A15" s="43"/>
      <c r="B15" s="43"/>
      <c r="C15" s="43"/>
      <c r="D15" s="46"/>
      <c r="E15" s="44"/>
      <c r="F15" s="43"/>
      <c r="G15" s="44"/>
      <c r="H15" s="44"/>
      <c r="I15" s="47" t="str">
        <f aca="false">IF(OR(G15="",H15="",E15=""),"",(G15+H15)/2-E15)</f>
        <v/>
      </c>
      <c r="J15" s="48" t="str">
        <f aca="true">IF(D15="","",TODAY()-D15)</f>
        <v/>
      </c>
      <c r="K15" s="43"/>
    </row>
    <row r="16" customFormat="false" ht="15" hidden="false" customHeight="true" outlineLevel="0" collapsed="false">
      <c r="A16" s="39"/>
      <c r="B16" s="39"/>
      <c r="C16" s="39"/>
      <c r="D16" s="49"/>
      <c r="E16" s="40"/>
      <c r="F16" s="39"/>
      <c r="G16" s="40"/>
      <c r="H16" s="40"/>
      <c r="I16" s="50" t="str">
        <f aca="false">IF(OR(G16="",H16="",E16=""),"",(G16+H16)/2-E16)</f>
        <v/>
      </c>
      <c r="J16" s="51" t="str">
        <f aca="true">IF(D16="","",TODAY()-D16)</f>
        <v/>
      </c>
      <c r="K16" s="39"/>
    </row>
    <row r="17" customFormat="false" ht="15" hidden="false" customHeight="true" outlineLevel="0" collapsed="false">
      <c r="A17" s="43"/>
      <c r="B17" s="43"/>
      <c r="C17" s="43"/>
      <c r="D17" s="46"/>
      <c r="E17" s="44"/>
      <c r="F17" s="43"/>
      <c r="G17" s="44"/>
      <c r="H17" s="44"/>
      <c r="I17" s="47" t="str">
        <f aca="false">IF(OR(G17="",H17="",E17=""),"",(G17+H17)/2-E17)</f>
        <v/>
      </c>
      <c r="J17" s="48" t="str">
        <f aca="true">IF(D17="","",TODAY()-D17)</f>
        <v/>
      </c>
      <c r="K17" s="43"/>
    </row>
    <row r="18" customFormat="false" ht="15" hidden="false" customHeight="true" outlineLevel="0" collapsed="false">
      <c r="A18" s="39"/>
      <c r="B18" s="39"/>
      <c r="C18" s="39"/>
      <c r="D18" s="49"/>
      <c r="E18" s="40"/>
      <c r="F18" s="39"/>
      <c r="G18" s="40"/>
      <c r="H18" s="40"/>
      <c r="I18" s="50" t="str">
        <f aca="false">IF(OR(G18="",H18="",E18=""),"",(G18+H18)/2-E18)</f>
        <v/>
      </c>
      <c r="J18" s="51" t="str">
        <f aca="true">IF(D18="","",TODAY()-D18)</f>
        <v/>
      </c>
      <c r="K18" s="39"/>
    </row>
    <row r="19" customFormat="false" ht="15" hidden="false" customHeight="true" outlineLevel="0" collapsed="false">
      <c r="A19" s="43"/>
      <c r="B19" s="43"/>
      <c r="C19" s="43"/>
      <c r="D19" s="46"/>
      <c r="E19" s="44"/>
      <c r="F19" s="43"/>
      <c r="G19" s="44"/>
      <c r="H19" s="44"/>
      <c r="I19" s="47" t="str">
        <f aca="false">IF(OR(G19="",H19="",E19=""),"",(G19+H19)/2-E19)</f>
        <v/>
      </c>
      <c r="J19" s="48" t="str">
        <f aca="true">IF(D19="","",TODAY()-D19)</f>
        <v/>
      </c>
      <c r="K19" s="43"/>
    </row>
    <row r="20" customFormat="false" ht="15" hidden="false" customHeight="true" outlineLevel="0" collapsed="false">
      <c r="A20" s="39"/>
      <c r="B20" s="39"/>
      <c r="C20" s="39"/>
      <c r="D20" s="49"/>
      <c r="E20" s="40"/>
      <c r="F20" s="39"/>
      <c r="G20" s="40"/>
      <c r="H20" s="40"/>
      <c r="I20" s="50" t="str">
        <f aca="false">IF(OR(G20="",H20="",E20=""),"",(G20+H20)/2-E20)</f>
        <v/>
      </c>
      <c r="J20" s="51" t="str">
        <f aca="true">IF(D20="","",TODAY()-D20)</f>
        <v/>
      </c>
      <c r="K20" s="39"/>
    </row>
    <row r="21" customFormat="false" ht="15" hidden="false" customHeight="true" outlineLevel="0" collapsed="false">
      <c r="A21" s="43"/>
      <c r="B21" s="43"/>
      <c r="C21" s="43"/>
      <c r="D21" s="46"/>
      <c r="E21" s="44"/>
      <c r="F21" s="43"/>
      <c r="G21" s="44"/>
      <c r="H21" s="44"/>
      <c r="I21" s="47" t="str">
        <f aca="false">IF(OR(G21="",H21="",E21=""),"",(G21+H21)/2-E21)</f>
        <v/>
      </c>
      <c r="J21" s="48" t="str">
        <f aca="true">IF(D21="","",TODAY()-D21)</f>
        <v/>
      </c>
      <c r="K21" s="43"/>
    </row>
    <row r="22" customFormat="false" ht="15" hidden="false" customHeight="true" outlineLevel="0" collapsed="false">
      <c r="A22" s="39"/>
      <c r="B22" s="39"/>
      <c r="C22" s="39"/>
      <c r="D22" s="49"/>
      <c r="E22" s="40"/>
      <c r="F22" s="39"/>
      <c r="G22" s="40"/>
      <c r="H22" s="40"/>
      <c r="I22" s="50" t="str">
        <f aca="false">IF(OR(G22="",H22="",E22=""),"",(G22+H22)/2-E22)</f>
        <v/>
      </c>
      <c r="J22" s="51" t="str">
        <f aca="true">IF(D22="","",TODAY()-D22)</f>
        <v/>
      </c>
      <c r="K22" s="39"/>
    </row>
    <row r="23" customFormat="false" ht="15" hidden="false" customHeight="true" outlineLevel="0" collapsed="false">
      <c r="A23" s="43"/>
      <c r="B23" s="43"/>
      <c r="C23" s="43"/>
      <c r="D23" s="46"/>
      <c r="E23" s="44"/>
      <c r="F23" s="43"/>
      <c r="G23" s="44"/>
      <c r="H23" s="44"/>
      <c r="I23" s="47" t="str">
        <f aca="false">IF(OR(G23="",H23="",E23=""),"",(G23+H23)/2-E23)</f>
        <v/>
      </c>
      <c r="J23" s="48" t="str">
        <f aca="true">IF(D23="","",TODAY()-D23)</f>
        <v/>
      </c>
      <c r="K23" s="43"/>
    </row>
    <row r="24" customFormat="false" ht="15" hidden="false" customHeight="true" outlineLevel="0" collapsed="false">
      <c r="A24" s="39"/>
      <c r="B24" s="39"/>
      <c r="C24" s="39"/>
      <c r="D24" s="49"/>
      <c r="E24" s="40"/>
      <c r="F24" s="39"/>
      <c r="G24" s="40"/>
      <c r="H24" s="40"/>
      <c r="I24" s="50" t="str">
        <f aca="false">IF(OR(G24="",H24="",E24=""),"",(G24+H24)/2-E24)</f>
        <v/>
      </c>
      <c r="J24" s="51" t="str">
        <f aca="true">IF(D24="","",TODAY()-D24)</f>
        <v/>
      </c>
      <c r="K24" s="39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17.25" hidden="false" customHeight="true" outlineLevel="0" collapsed="false">
      <c r="A26" s="33" t="s">
        <v>89</v>
      </c>
      <c r="B26" s="4"/>
      <c r="C26" s="52" t="n">
        <f aca="false">SUM(I5:I24)</f>
        <v>0</v>
      </c>
      <c r="D26" s="4"/>
      <c r="E26" s="4"/>
      <c r="F26" s="4"/>
      <c r="G26" s="4"/>
      <c r="H26" s="4"/>
      <c r="I26" s="4"/>
      <c r="J26" s="4"/>
      <c r="K26" s="4"/>
    </row>
    <row r="27" customFormat="false" ht="17.25" hidden="false" customHeight="true" outlineLevel="0" collapsed="false">
      <c r="A27" s="53" t="s">
        <v>90</v>
      </c>
      <c r="B27" s="4"/>
      <c r="C27" s="54" t="n">
        <f aca="false">SUM(E5:E24)</f>
        <v>0</v>
      </c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F5:F24" type="list">
      <formula1>"Acquired,Repairing,Listed,Pending Pickup"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2026-03-18T07:45:47Z</dcterms:created>
  <dc:creator>openpyxl</dc:creator>
  <dc:description/>
  <dc:language>en-US</dc:language>
  <cp:lastModifiedBy/>
  <dcterms:modified xsi:type="dcterms:W3CDTF">2026-03-18T07:46:26Z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